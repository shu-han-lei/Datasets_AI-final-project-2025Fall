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29d123b0154f64/MCRP_MPI_2025FALL/jupyter_2025fall/"/>
    </mc:Choice>
  </mc:AlternateContent>
  <xr:revisionPtr revIDLastSave="847" documentId="11_8CD89CB7C2E2A9AF33966326E321260C5FF2D96F" xr6:coauthVersionLast="47" xr6:coauthVersionMax="47" xr10:uidLastSave="{F577DD82-6C8D-4E98-8537-675DB0872555}"/>
  <bookViews>
    <workbookView xWindow="-110" yWindow="-110" windowWidth="25820" windowHeight="15500" firstSheet="2" activeTab="9" xr2:uid="{00000000-000D-0000-FFFF-FFFF00000000}"/>
  </bookViews>
  <sheets>
    <sheet name="NAICS HOURLY INCOME" sheetId="8" r:id="rId1"/>
    <sheet name="NAICS ANNUAL INCOME" sheetId="9" r:id="rId2"/>
    <sheet name="Index" sheetId="3" r:id="rId3"/>
    <sheet name="National_NAICS" sheetId="1" r:id="rId4"/>
    <sheet name="MSA_NAICS" sheetId="7" r:id="rId5"/>
    <sheet name="HUD Income Limit" sheetId="10" r:id="rId6"/>
    <sheet name="Notes" sheetId="2" r:id="rId7"/>
    <sheet name="Sheet1" sheetId="11" r:id="rId8"/>
    <sheet name="Sheet2" sheetId="12" r:id="rId9"/>
    <sheet name="Sheet3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0" l="1"/>
  <c r="B6" i="10"/>
  <c r="C6" i="10"/>
  <c r="D6" i="10"/>
  <c r="E6" i="10"/>
  <c r="F6" i="10"/>
  <c r="F8" i="10" s="1"/>
  <c r="G6" i="10"/>
  <c r="G8" i="10" s="1"/>
  <c r="H6" i="10"/>
  <c r="H7" i="10" s="1"/>
  <c r="I6" i="10"/>
  <c r="I7" i="10" s="1"/>
  <c r="J6" i="10"/>
  <c r="J7" i="10" s="1"/>
  <c r="K6" i="10"/>
  <c r="K7" i="10" s="1"/>
  <c r="L6" i="10"/>
  <c r="L7" i="10" s="1"/>
  <c r="M6" i="10"/>
  <c r="M7" i="10" s="1"/>
  <c r="N6" i="10"/>
  <c r="B8" i="10"/>
  <c r="C8" i="10"/>
  <c r="D8" i="10"/>
  <c r="E8" i="10"/>
  <c r="I8" i="10"/>
  <c r="K8" i="10"/>
  <c r="L8" i="10"/>
  <c r="M8" i="10"/>
  <c r="N8" i="10"/>
  <c r="B7" i="10"/>
  <c r="C7" i="10"/>
  <c r="D7" i="10"/>
  <c r="E7" i="10"/>
  <c r="F7" i="10"/>
  <c r="G7" i="10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" i="7"/>
  <c r="B2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B4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B5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B6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B14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B15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B16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B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B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B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B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B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" i="9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27" i="8"/>
  <c r="T26" i="8"/>
  <c r="T25" i="8"/>
  <c r="T24" i="8"/>
  <c r="T23" i="8"/>
  <c r="T22" i="8"/>
  <c r="T21" i="8"/>
  <c r="T20" i="8"/>
  <c r="T19" i="8"/>
  <c r="T18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A17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A16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B15" i="8"/>
  <c r="A15" i="8"/>
  <c r="H21" i="1"/>
  <c r="D3" i="3"/>
  <c r="D4" i="3"/>
  <c r="D5" i="3"/>
  <c r="D6" i="3"/>
  <c r="D7" i="3"/>
  <c r="D8" i="3"/>
  <c r="D9" i="3"/>
  <c r="D10" i="3"/>
  <c r="D11" i="3"/>
  <c r="D12" i="3"/>
  <c r="D13" i="3"/>
  <c r="D14" i="3"/>
  <c r="D2" i="3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J8" i="10" l="1"/>
  <c r="H8" i="10"/>
</calcChain>
</file>

<file path=xl/sharedStrings.xml><?xml version="1.0" encoding="utf-8"?>
<sst xmlns="http://schemas.openxmlformats.org/spreadsheetml/2006/main" count="445" uniqueCount="234">
  <si>
    <t>CNS Code</t>
  </si>
  <si>
    <t>NAICS Sector</t>
  </si>
  <si>
    <t>Sector Name</t>
  </si>
  <si>
    <t>Macro-Sector</t>
  </si>
  <si>
    <t>Med-Hourly 2010</t>
  </si>
  <si>
    <t>Med-Hourly 2011</t>
  </si>
  <si>
    <t>Med-Hourly 2012</t>
  </si>
  <si>
    <t>Med-Hourly 2013</t>
  </si>
  <si>
    <t>Med-Hourly 2014</t>
  </si>
  <si>
    <t>Med-Hourly 2015</t>
  </si>
  <si>
    <t>Med-Hourly 2016</t>
  </si>
  <si>
    <t>Med-Hourly 2017</t>
  </si>
  <si>
    <t>Med-Hourly 2018</t>
  </si>
  <si>
    <t>Med-Hourly 2019</t>
  </si>
  <si>
    <t>Med-Hourly 2020</t>
  </si>
  <si>
    <t>Med-Hourly 2021</t>
  </si>
  <si>
    <t>Med-Hourly 2022</t>
  </si>
  <si>
    <t>CNS01</t>
  </si>
  <si>
    <t>Agriculture, Forestry, Fishing, and Hunting</t>
  </si>
  <si>
    <t>Agri-Mining</t>
  </si>
  <si>
    <t>CNS02</t>
  </si>
  <si>
    <t>Mining, Quarrying, and Oil &amp; Gas Extraction</t>
  </si>
  <si>
    <t>CNS03</t>
  </si>
  <si>
    <t>Utilities</t>
  </si>
  <si>
    <t>Industrial</t>
  </si>
  <si>
    <t>CNS04</t>
  </si>
  <si>
    <t>Construction</t>
  </si>
  <si>
    <t>CNS05</t>
  </si>
  <si>
    <t>31–33</t>
  </si>
  <si>
    <t>Manufacturing</t>
  </si>
  <si>
    <t>CNS06</t>
  </si>
  <si>
    <t>Wholesale Trade</t>
  </si>
  <si>
    <t>CNS07</t>
  </si>
  <si>
    <t>44–45</t>
  </si>
  <si>
    <t>Retail Trade</t>
  </si>
  <si>
    <t>Local Services</t>
  </si>
  <si>
    <t>CNS08</t>
  </si>
  <si>
    <t>48–49</t>
  </si>
  <si>
    <t>Transportation and Warehousing</t>
  </si>
  <si>
    <t>CNS09</t>
  </si>
  <si>
    <t>Information</t>
  </si>
  <si>
    <t>Office</t>
  </si>
  <si>
    <t>CNS10</t>
  </si>
  <si>
    <t>Finance and Insurance</t>
  </si>
  <si>
    <t>CNS11</t>
  </si>
  <si>
    <t>Real Estate and Rental and Leasing</t>
  </si>
  <si>
    <t>CNS12</t>
  </si>
  <si>
    <t>Professional, Scientific, and Technical Services</t>
  </si>
  <si>
    <t>CNS13</t>
  </si>
  <si>
    <t>Management of Companies and Enterprises</t>
  </si>
  <si>
    <t>CNS14</t>
  </si>
  <si>
    <t>Administrative and Support, Waste Management and Remediation Services</t>
  </si>
  <si>
    <t>CNS15</t>
  </si>
  <si>
    <t>Educational Services</t>
  </si>
  <si>
    <t>Institutional</t>
  </si>
  <si>
    <t>CNS16</t>
  </si>
  <si>
    <t>Health Care and Social Assistance</t>
  </si>
  <si>
    <t>CNS17</t>
  </si>
  <si>
    <t>Arts, Entertainment, and Recreation</t>
  </si>
  <si>
    <t>CNS18</t>
  </si>
  <si>
    <t>Accommodation and Food Services</t>
  </si>
  <si>
    <t>CNS19</t>
  </si>
  <si>
    <t>Other Services (except Public Administration)</t>
  </si>
  <si>
    <t>CNS20</t>
  </si>
  <si>
    <t>Public Administration</t>
  </si>
  <si>
    <r>
      <rPr>
        <u/>
        <sz val="10"/>
        <color rgb="FF1155CC"/>
        <rFont val="Arial"/>
      </rPr>
      <t>Occupational Employment and Wage Statistics (OEWS) Tables : U.S. Bureau of Labor Statistics</t>
    </r>
  </si>
  <si>
    <t>Sector 92 was replaced by sector 99</t>
  </si>
  <si>
    <t>Med-Annually 2010</t>
  </si>
  <si>
    <t>Med-Annually 2011</t>
  </si>
  <si>
    <t>Med-Annually 2012</t>
  </si>
  <si>
    <t>Med-Annually 2013</t>
  </si>
  <si>
    <t>Med-Annually 2014</t>
  </si>
  <si>
    <t>Med-Annually 2015</t>
  </si>
  <si>
    <t>Med-Annually 2016</t>
  </si>
  <si>
    <t>Med-Annually 2017</t>
  </si>
  <si>
    <t>Med-Annually 2018</t>
  </si>
  <si>
    <t>Med-Annually 2019</t>
  </si>
  <si>
    <t>Med-Annually 2020</t>
  </si>
  <si>
    <t>Med-Annually 2021</t>
  </si>
  <si>
    <t>Med-Annually 2022</t>
  </si>
  <si>
    <t>Year</t>
  </si>
  <si>
    <t>National Median</t>
  </si>
  <si>
    <t>Index</t>
  </si>
  <si>
    <t>NYC Metro Median</t>
  </si>
  <si>
    <t>New York-Newark-Jersey City, NY-NJ-PA</t>
  </si>
  <si>
    <t>National Median Hourly Income is from Cross-industry, private ownership only</t>
  </si>
  <si>
    <t>MSA Med-Hourly 2010</t>
  </si>
  <si>
    <t>MSA Med-Annually 2010</t>
  </si>
  <si>
    <t>MSA Med-Hourly 2011</t>
  </si>
  <si>
    <t>MSA Med-Annually 2011</t>
  </si>
  <si>
    <t>MSA Med-Hourly 2012</t>
  </si>
  <si>
    <t>MSA Med-Annually 2012</t>
  </si>
  <si>
    <t>MSA Med-Hourly 2013</t>
  </si>
  <si>
    <t>MSA Med-Annually 2013</t>
  </si>
  <si>
    <t>MSA Med-Hourly 2014</t>
  </si>
  <si>
    <t>MSA Med-Annually 2014</t>
  </si>
  <si>
    <t>MSA Med-Hourly 2015</t>
  </si>
  <si>
    <t>MSA Med-Annually 2015</t>
  </si>
  <si>
    <t>MSA Med-Hourly 2016</t>
  </si>
  <si>
    <t>MSA Med-Annually 2016</t>
  </si>
  <si>
    <t>MSA Med-Hourly 2017</t>
  </si>
  <si>
    <t>MSA Med-Annually 2017</t>
  </si>
  <si>
    <t>MSA Med-Hourly 2018</t>
  </si>
  <si>
    <t>MSA Med-Annually 2018</t>
  </si>
  <si>
    <t>MSA Med-Hourly 2019</t>
  </si>
  <si>
    <t>MSA Med-Annually 2019</t>
  </si>
  <si>
    <t>MSA Med-Hourly 2020</t>
  </si>
  <si>
    <t>MSA Med-Annually 2020</t>
  </si>
  <si>
    <t>MSA Med-Hourly 2021</t>
  </si>
  <si>
    <t>MSA Med-Annually 2021</t>
  </si>
  <si>
    <t>MSA Med-Hourly 2022</t>
  </si>
  <si>
    <t>MSA Med-Annually 2022</t>
  </si>
  <si>
    <t>National</t>
  </si>
  <si>
    <t>MSA Code</t>
  </si>
  <si>
    <t>Area Title</t>
  </si>
  <si>
    <t>This project doesn't need to use sector 11 12 92</t>
  </si>
  <si>
    <t>HUD Category</t>
  </si>
  <si>
    <t>30% LIMITS</t>
  </si>
  <si>
    <t>30% AMI</t>
  </si>
  <si>
    <t>VERY LOW INCOME</t>
  </si>
  <si>
    <t>50% AMI</t>
  </si>
  <si>
    <t>60% LIMITS</t>
  </si>
  <si>
    <t>60% AMI</t>
  </si>
  <si>
    <t>LOW INCOME</t>
  </si>
  <si>
    <t>80% AMI</t>
  </si>
  <si>
    <t>Estimated AMI</t>
  </si>
  <si>
    <t>Meaning</t>
  </si>
  <si>
    <t>AMI Percentage</t>
  </si>
  <si>
    <t>Extremely Low Income</t>
  </si>
  <si>
    <t>Very Low Income</t>
  </si>
  <si>
    <t>LIHTC Income Limit (Tax Credit Housing)</t>
  </si>
  <si>
    <t>Low Income</t>
  </si>
  <si>
    <t>100% AMI</t>
  </si>
  <si>
    <t>HOME Income Limits - HUD Exchange</t>
  </si>
  <si>
    <t>120% AMI</t>
  </si>
  <si>
    <t>150% AMI</t>
  </si>
  <si>
    <t>Cluster Type</t>
  </si>
  <si>
    <t>Overall Job Access (log_access*)</t>
  </si>
  <si>
    <t>Industry Access (Office / Industrial / Institutional / Services)</t>
  </si>
  <si>
    <t>Skill-Level Access (low50/low60/low80)</t>
  </si>
  <si>
    <t>JAFS per Capita (job opportunity structure)</t>
  </si>
  <si>
    <t>Structural Meaning</t>
  </si>
  <si>
    <t>High Opportunity</t>
  </si>
  <si>
    <t>High across all wage groups; especially strong for high- and median-wage jobs</t>
  </si>
  <si>
    <t>Very strong Office + diversified sector access; Manhattan-oriented</t>
  </si>
  <si>
    <t>High access across skill levels</t>
  </si>
  <si>
    <t>High per-capita JAFS across sectors</t>
  </si>
  <si>
    <t>Multi-layered, multi-sector, Manhattan-connected high-opportunity structure</t>
  </si>
  <si>
    <t>Service-Oriented</t>
  </si>
  <si>
    <t>Moderate overall access; weaker high-wage access</t>
  </si>
  <si>
    <t>Strong Institutional + Local Services; weak Office sectors</t>
  </si>
  <si>
    <t>Moderate low-skill job access</t>
  </si>
  <si>
    <t>Moderate JAFS; strongest in service-related categories</t>
  </si>
  <si>
    <t>Local opportunity structure dominated by service &amp; institutional sectors</t>
  </si>
  <si>
    <t>Balanced</t>
  </si>
  <si>
    <t>Mid-range across all wage groups</t>
  </si>
  <si>
    <t>Moderate and diversified across all sectors without extremes</t>
  </si>
  <si>
    <t>Middle-range skill-based opportunities</t>
  </si>
  <si>
    <t>Stable, mid-range JAFS per capita</t>
  </si>
  <si>
    <t>Neither strong advantages nor major weaknesses; structurally stable</t>
  </si>
  <si>
    <t>Opportunity Desert</t>
  </si>
  <si>
    <t>Low access across all wage groups; strongest deficit in high-wage jobs</t>
  </si>
  <si>
    <t>Weak sectoral access across all industries</t>
  </si>
  <si>
    <t>Very low across all skill levels</t>
  </si>
  <si>
    <t>Lowest per-capita JAFS; structurally thin opportunity base</t>
  </si>
  <si>
    <t>Structurally disadvantaged pattern with systematically low job accessibility</t>
  </si>
  <si>
    <t>Median Income</t>
  </si>
  <si>
    <t>High Income</t>
  </si>
  <si>
    <t>Very High Income</t>
  </si>
  <si>
    <t>Feature Group</t>
  </si>
  <si>
    <t>Variable Name</t>
  </si>
  <si>
    <t>Meaning (Basic Explanation)</t>
  </si>
  <si>
    <t>Overall Job Access</t>
  </si>
  <si>
    <t>log_access_jobs_total</t>
  </si>
  <si>
    <t>Total jobs reachable from a tract</t>
  </si>
  <si>
    <t>log_access_low_total</t>
  </si>
  <si>
    <t>Low-wage jobs reachable from a tract</t>
  </si>
  <si>
    <t>log_access_median_total</t>
  </si>
  <si>
    <t>Median-wage jobs reachable from a tract</t>
  </si>
  <si>
    <t>log_access_high_total</t>
  </si>
  <si>
    <t>High-wage jobs reachable from a tract</t>
  </si>
  <si>
    <t>Industry Access</t>
  </si>
  <si>
    <t>log_access_Office</t>
  </si>
  <si>
    <t>Office-sector jobs reachable (finance, professional, management)</t>
  </si>
  <si>
    <t>log_access_Industrial</t>
  </si>
  <si>
    <t>Industrial-sector jobs reachable (manufacturing, transport, utilities)</t>
  </si>
  <si>
    <t>log_access_Institutional</t>
  </si>
  <si>
    <t>Education and healthcare jobs reachable</t>
  </si>
  <si>
    <t>log_access_LocalServices</t>
  </si>
  <si>
    <t>Local service jobs reachable (retail, food, personal services)</t>
  </si>
  <si>
    <t>Skill-Level Access</t>
  </si>
  <si>
    <t>log_access_low50</t>
  </si>
  <si>
    <t>Jobs reachable below 50% AMI</t>
  </si>
  <si>
    <t>log_access_low60</t>
  </si>
  <si>
    <t>Jobs reachable below 60% AMI</t>
  </si>
  <si>
    <t>log_access_low80</t>
  </si>
  <si>
    <t>Jobs reachable below 80% AMI</t>
  </si>
  <si>
    <t>JAFS per Capita</t>
  </si>
  <si>
    <t>log_JAFS_total_pc</t>
  </si>
  <si>
    <t>Total job opportunities per resident</t>
  </si>
  <si>
    <t>log_JAFS_low_pc</t>
  </si>
  <si>
    <t>Low-wage job opportunities per resident</t>
  </si>
  <si>
    <t>log_JAFS_median_pc</t>
  </si>
  <si>
    <t>Median-wage job opportunities per resident</t>
  </si>
  <si>
    <t>log_JAFS_high_pc</t>
  </si>
  <si>
    <t>High-wage job opportunities per resident</t>
  </si>
  <si>
    <t>log_JAFS_low50_pc</t>
  </si>
  <si>
    <t>&lt;50% AMI job opportunities per resident</t>
  </si>
  <si>
    <t>log_JAFS_low60_pc</t>
  </si>
  <si>
    <t>&lt;60% AMI job opportunities per resident</t>
  </si>
  <si>
    <t>log_JAFS_low80_pc</t>
  </si>
  <si>
    <t>&lt;80% AMI job opportunities per resident</t>
  </si>
  <si>
    <t>log_JAFS_Office_pc</t>
  </si>
  <si>
    <t>Office-sector job opportunities per resident</t>
  </si>
  <si>
    <t>log_JAFS_Industrial_pc</t>
  </si>
  <si>
    <t>Industrial job opportunities per resident</t>
  </si>
  <si>
    <t>log_JAFS_Institutional_pc</t>
  </si>
  <si>
    <t>Institutional job opportunities per resident</t>
  </si>
  <si>
    <t>log_JAFS_LocalServices_pc</t>
  </si>
  <si>
    <t>Local service job opportunities per resident</t>
  </si>
  <si>
    <t>Macro Sector</t>
  </si>
  <si>
    <t>CNS Codes Included</t>
  </si>
  <si>
    <t>Economic Role</t>
  </si>
  <si>
    <t>CNS09–CNS13</t>
  </si>
  <si>
    <t>Knowledge-based, high-wage employment</t>
  </si>
  <si>
    <t>CNS03–CNS06, CNS08</t>
  </si>
  <si>
    <t>Production, logistics, infrastructure</t>
  </si>
  <si>
    <t>CNS15–CNS16</t>
  </si>
  <si>
    <t>Education and healthcare services</t>
  </si>
  <si>
    <t>CNS07, CNS14, CNS17–CNS19</t>
  </si>
  <si>
    <t>Neighborhood-serving services</t>
  </si>
  <si>
    <t>Excluded</t>
  </si>
  <si>
    <t>CNS01, CNS02, CNS20</t>
  </si>
  <si>
    <t>Limited relevance or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</si>
</sst>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0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&quot;MS Sans Serif&quot;"/>
    </font>
    <font>
      <u/>
      <sz val="10"/>
      <color rgb="FF0000FF"/>
      <name val="Arial"/>
    </font>
    <font>
      <u/>
      <sz val="10"/>
      <color rgb="FF1155CC"/>
      <name val="Arial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188038"/>
      <name val="Courier New"/>
      <family val="3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0" fillId="0" borderId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9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16" fillId="3" borderId="0" applyNumberFormat="0" applyBorder="0" applyAlignment="0" applyProtection="0"/>
    <xf numFmtId="0" fontId="20" fillId="6" borderId="4" applyNumberFormat="0" applyAlignment="0" applyProtection="0"/>
    <xf numFmtId="0" fontId="22" fillId="7" borderId="7" applyNumberFormat="0" applyAlignment="0" applyProtection="0"/>
    <xf numFmtId="0" fontId="2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8" fillId="5" borderId="4" applyNumberFormat="0" applyAlignment="0" applyProtection="0"/>
    <xf numFmtId="0" fontId="21" fillId="0" borderId="6" applyNumberFormat="0" applyFill="0" applyAlignment="0" applyProtection="0"/>
    <xf numFmtId="0" fontId="17" fillId="4" borderId="0" applyNumberFormat="0" applyBorder="0" applyAlignment="0" applyProtection="0"/>
    <xf numFmtId="0" fontId="10" fillId="8" borderId="8" applyNumberFormat="0" applyFont="0" applyAlignment="0" applyProtection="0"/>
    <xf numFmtId="0" fontId="19" fillId="6" borderId="5" applyNumberFormat="0" applyAlignment="0" applyProtection="0"/>
    <xf numFmtId="0" fontId="11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7" fillId="0" borderId="0"/>
    <xf numFmtId="0" fontId="34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9" fillId="0" borderId="0" xfId="0" applyFont="1" applyAlignment="1">
      <alignment horizontal="right" vertical="center" wrapText="1"/>
    </xf>
    <xf numFmtId="2" fontId="10" fillId="0" borderId="0" xfId="1" applyNumberFormat="1" applyAlignment="1">
      <alignment horizontal="right"/>
    </xf>
    <xf numFmtId="2" fontId="9" fillId="0" borderId="0" xfId="0" applyNumberFormat="1" applyFont="1" applyAlignment="1">
      <alignment horizontal="right" vertical="top" wrapText="1"/>
    </xf>
    <xf numFmtId="2" fontId="27" fillId="0" borderId="0" xfId="43" applyNumberFormat="1" applyAlignment="1">
      <alignment horizontal="right"/>
    </xf>
    <xf numFmtId="0" fontId="29" fillId="0" borderId="0" xfId="0" applyFont="1"/>
    <xf numFmtId="2" fontId="28" fillId="0" borderId="0" xfId="43" applyNumberFormat="1" applyFont="1" applyAlignment="1">
      <alignment horizontal="right"/>
    </xf>
    <xf numFmtId="0" fontId="7" fillId="0" borderId="0" xfId="0" applyFont="1"/>
    <xf numFmtId="0" fontId="9" fillId="0" borderId="0" xfId="0" applyFont="1" applyAlignment="1">
      <alignment horizontal="right" vertical="center"/>
    </xf>
    <xf numFmtId="0" fontId="31" fillId="0" borderId="0" xfId="0" applyFont="1" applyAlignment="1">
      <alignment horizontal="left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wrapText="1"/>
    </xf>
    <xf numFmtId="2" fontId="32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2" fillId="0" borderId="0" xfId="0" applyNumberFormat="1" applyFont="1" applyAlignment="1">
      <alignment horizontal="right" wrapText="1"/>
    </xf>
    <xf numFmtId="2" fontId="0" fillId="0" borderId="0" xfId="0" applyNumberFormat="1"/>
    <xf numFmtId="2" fontId="5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0" fillId="0" borderId="0" xfId="0" applyNumberFormat="1" applyAlignment="1">
      <alignment wrapText="1"/>
    </xf>
    <xf numFmtId="2" fontId="33" fillId="0" borderId="0" xfId="0" applyNumberFormat="1" applyFont="1" applyAlignment="1">
      <alignment horizontal="right" wrapText="1"/>
    </xf>
    <xf numFmtId="2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 vertical="center" wrapText="1"/>
    </xf>
    <xf numFmtId="0" fontId="35" fillId="0" borderId="0" xfId="0" applyFont="1" applyAlignment="1">
      <alignment vertical="center" wrapText="1"/>
    </xf>
    <xf numFmtId="0" fontId="34" fillId="0" borderId="0" xfId="44"/>
    <xf numFmtId="0" fontId="3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0" fillId="0" borderId="0" xfId="0" applyAlignment="1"/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1" fillId="0" borderId="0" xfId="0" applyFont="1" applyAlignment="1">
      <alignment vertical="center"/>
    </xf>
  </cellXfs>
  <cellStyles count="45">
    <cellStyle name="20% - 着色 1 2" xfId="2" xr:uid="{5DE59766-48E0-4581-949F-BBFAE31C1EB7}"/>
    <cellStyle name="20% - 着色 2 2" xfId="3" xr:uid="{0AD39943-0F9D-4CCB-A8EF-C8DA38D63C78}"/>
    <cellStyle name="20% - 着色 3 2" xfId="4" xr:uid="{B05F53C9-8F1E-40B2-9E9B-165025EBF2A2}"/>
    <cellStyle name="20% - 着色 4 2" xfId="5" xr:uid="{7BFA9B70-16D3-404F-9B05-184F1D049816}"/>
    <cellStyle name="20% - 着色 5 2" xfId="6" xr:uid="{559D25B0-4231-4CA2-8F65-1AEB33FB1619}"/>
    <cellStyle name="20% - 着色 6 2" xfId="7" xr:uid="{6C247C3A-46CA-4D61-81CC-529A78C134C7}"/>
    <cellStyle name="40% - 着色 1 2" xfId="8" xr:uid="{F2F0008A-EF00-445E-B768-BB2061979163}"/>
    <cellStyle name="40% - 着色 2 2" xfId="9" xr:uid="{8CA3F0EC-6667-4477-A313-BD2F5B9C7E96}"/>
    <cellStyle name="40% - 着色 3 2" xfId="10" xr:uid="{DAF8AA91-28C9-427B-90EE-C96FF91E162F}"/>
    <cellStyle name="40% - 着色 4 2" xfId="11" xr:uid="{44C46D7E-38B0-4101-8A06-CE2D65F3E5CB}"/>
    <cellStyle name="40% - 着色 5 2" xfId="12" xr:uid="{29632D39-1213-44D9-A367-55402A901385}"/>
    <cellStyle name="40% - 着色 6 2" xfId="13" xr:uid="{C34E6136-5036-46C7-926D-7970727868EC}"/>
    <cellStyle name="60% - 着色 1 2" xfId="14" xr:uid="{8D7E6067-8D46-49FE-B8E4-A5A8F75E484D}"/>
    <cellStyle name="60% - 着色 2 2" xfId="15" xr:uid="{61E96E87-B7B1-42E5-BB77-DC828AC7E0E9}"/>
    <cellStyle name="60% - 着色 3 2" xfId="16" xr:uid="{C8E48A78-A533-4873-8676-4056DCB88FAA}"/>
    <cellStyle name="60% - 着色 4 2" xfId="17" xr:uid="{E6ABFDE1-71E3-4F6C-A559-74C46AC9D13D}"/>
    <cellStyle name="60% - 着色 5 2" xfId="18" xr:uid="{976435BB-1F41-4E9E-84D1-71F578970AB0}"/>
    <cellStyle name="60% - 着色 6 2" xfId="19" xr:uid="{B371047F-4E36-4EEB-853D-E72C1E636E19}"/>
    <cellStyle name="标题 1 2" xfId="31" xr:uid="{394D1CCE-B989-4F5F-ABB5-79658194740E}"/>
    <cellStyle name="标题 2 2" xfId="32" xr:uid="{FFF20B69-852E-483D-9A2D-1F63A0A01BC0}"/>
    <cellStyle name="标题 3 2" xfId="33" xr:uid="{394FB9DB-6E9D-4246-9D3D-CCF257B2C61A}"/>
    <cellStyle name="标题 4 2" xfId="34" xr:uid="{85D1DAE1-A2CF-4206-9F70-2553AF9C16A9}"/>
    <cellStyle name="标题 5" xfId="40" xr:uid="{05EE0ADA-4CD7-440C-8094-44E5252BE930}"/>
    <cellStyle name="差 2" xfId="26" xr:uid="{6384D79B-0932-472B-9395-34BE2039212B}"/>
    <cellStyle name="常规" xfId="0" builtinId="0"/>
    <cellStyle name="常规 2" xfId="1" xr:uid="{1711FA34-CBED-452E-A949-D307F83C1304}"/>
    <cellStyle name="常规 3" xfId="43" xr:uid="{F494CE01-07A6-4A2B-B4D0-6E894723D21A}"/>
    <cellStyle name="超链接" xfId="44" builtinId="8"/>
    <cellStyle name="好 2" xfId="30" xr:uid="{69715509-867F-48EF-B496-8ACD84C4847B}"/>
    <cellStyle name="汇总 2" xfId="41" xr:uid="{1944A1E8-D0A1-414D-847E-D8E444F73FA4}"/>
    <cellStyle name="计算 2" xfId="27" xr:uid="{B7C2501F-6FEA-4399-997B-4E1E7428BCC8}"/>
    <cellStyle name="检查单元格 2" xfId="28" xr:uid="{96273C64-74C6-4D2D-9718-1E3AB45B9727}"/>
    <cellStyle name="解释性文本 2" xfId="29" xr:uid="{F4BCB6DB-76DB-4EEF-969E-10B0CDD5F878}"/>
    <cellStyle name="警告文本 2" xfId="42" xr:uid="{6E5E680D-1E30-4ACB-BB2E-0655705583DA}"/>
    <cellStyle name="链接单元格 2" xfId="36" xr:uid="{AE88080E-D4CC-4E94-B488-A07F39BA8D3B}"/>
    <cellStyle name="适中 2" xfId="37" xr:uid="{98397173-BCDB-45FC-9CF4-AD1F7018FA44}"/>
    <cellStyle name="输出 2" xfId="39" xr:uid="{C736FB82-C176-46B6-B404-71DA7C8AA35B}"/>
    <cellStyle name="输入 2" xfId="35" xr:uid="{EF7054D0-DD34-4CD7-B14A-8AAE88DBBBCB}"/>
    <cellStyle name="着色 1 2" xfId="20" xr:uid="{9F657EEF-A895-4FAD-B6D2-21B4938AA17C}"/>
    <cellStyle name="着色 2 2" xfId="21" xr:uid="{53DC4239-FC6D-46B6-B5C2-5A669E10C5A7}"/>
    <cellStyle name="着色 3 2" xfId="22" xr:uid="{F516993E-D5A9-4E7E-906D-E659E7EC8FA5}"/>
    <cellStyle name="着色 4 2" xfId="23" xr:uid="{CFD7BB48-4EB1-4388-872C-D8F5FF10746C}"/>
    <cellStyle name="着色 5 2" xfId="24" xr:uid="{19976DDE-196D-4FAD-8921-AD043C2109CE}"/>
    <cellStyle name="着色 6 2" xfId="25" xr:uid="{9B0C79EB-A6D8-4D41-9760-A197E687454A}"/>
    <cellStyle name="注释 2" xfId="38" xr:uid="{BF850EA7-A02A-45E6-8F56-F734349AA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udexchange.info/programs/home/home-income-limits/?filter_Year=2010&amp;filter_Scope=State&amp;filter_State=NY&amp;program=HOME&amp;group=IncomeLmts" TargetMode="External"/><Relationship Id="rId1" Type="http://schemas.openxmlformats.org/officeDocument/2006/relationships/hyperlink" Target="https://www.bls.gov/oes/tables.ht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5CF3-BDEE-41D0-BFA4-F4E84630803F}">
  <dimension ref="A1:W28"/>
  <sheetViews>
    <sheetView topLeftCell="A9" workbookViewId="0">
      <selection activeCell="M34" sqref="M34"/>
    </sheetView>
  </sheetViews>
  <sheetFormatPr defaultRowHeight="12.5"/>
  <cols>
    <col min="1" max="21" width="8.7265625" style="7"/>
    <col min="22" max="22" width="22.08984375" style="7" customWidth="1"/>
    <col min="23" max="23" width="10.1796875" style="7" customWidth="1"/>
    <col min="24" max="16384" width="8.7265625" style="7"/>
  </cols>
  <sheetData>
    <row r="1" spans="1:23" ht="13">
      <c r="A1" s="16" t="s">
        <v>17</v>
      </c>
      <c r="B1" s="16" t="s">
        <v>20</v>
      </c>
      <c r="C1" s="16" t="s">
        <v>22</v>
      </c>
      <c r="D1" s="16" t="s">
        <v>25</v>
      </c>
      <c r="E1" s="16" t="s">
        <v>27</v>
      </c>
      <c r="F1" s="16" t="s">
        <v>30</v>
      </c>
      <c r="G1" s="16" t="s">
        <v>32</v>
      </c>
      <c r="H1" s="16" t="s">
        <v>36</v>
      </c>
      <c r="I1" s="16" t="s">
        <v>39</v>
      </c>
      <c r="J1" s="16" t="s">
        <v>42</v>
      </c>
      <c r="K1" s="16" t="s">
        <v>44</v>
      </c>
      <c r="L1" s="16" t="s">
        <v>46</v>
      </c>
      <c r="M1" s="16" t="s">
        <v>48</v>
      </c>
      <c r="N1" s="16" t="s">
        <v>50</v>
      </c>
      <c r="O1" s="16" t="s">
        <v>52</v>
      </c>
      <c r="P1" s="16" t="s">
        <v>55</v>
      </c>
      <c r="Q1" s="16" t="s">
        <v>57</v>
      </c>
      <c r="R1" s="16" t="s">
        <v>59</v>
      </c>
      <c r="S1" s="16" t="s">
        <v>61</v>
      </c>
      <c r="T1" s="16" t="s">
        <v>63</v>
      </c>
      <c r="U1" s="16" t="s">
        <v>80</v>
      </c>
      <c r="V1" s="16" t="s">
        <v>114</v>
      </c>
      <c r="W1" s="16" t="s">
        <v>113</v>
      </c>
    </row>
    <row r="2" spans="1:23">
      <c r="A2" s="23">
        <v>9.3800000000000008</v>
      </c>
      <c r="B2" s="23">
        <v>21.73</v>
      </c>
      <c r="C2" s="23">
        <v>29.22</v>
      </c>
      <c r="D2" s="23">
        <v>19.149999999999999</v>
      </c>
      <c r="E2" s="23">
        <v>17.46</v>
      </c>
      <c r="F2" s="23">
        <v>18.29</v>
      </c>
      <c r="G2" s="23">
        <v>10.7</v>
      </c>
      <c r="H2" s="23">
        <v>18.809999999999999</v>
      </c>
      <c r="I2" s="23">
        <v>24.17</v>
      </c>
      <c r="J2" s="23">
        <v>20.65</v>
      </c>
      <c r="K2" s="23">
        <v>14.98</v>
      </c>
      <c r="L2" s="23">
        <v>27.07</v>
      </c>
      <c r="M2" s="23">
        <v>26.78</v>
      </c>
      <c r="N2" s="23">
        <v>12.67</v>
      </c>
      <c r="O2" s="23">
        <v>20.73</v>
      </c>
      <c r="P2" s="23">
        <v>16.329999999999998</v>
      </c>
      <c r="Q2" s="23">
        <v>11.22</v>
      </c>
      <c r="R2" s="23">
        <v>9.0500000000000007</v>
      </c>
      <c r="S2" s="23">
        <v>13.24</v>
      </c>
      <c r="T2" s="23">
        <v>21.97</v>
      </c>
      <c r="U2" s="18">
        <v>2010</v>
      </c>
      <c r="V2" s="18" t="s">
        <v>112</v>
      </c>
      <c r="W2" s="18"/>
    </row>
    <row r="3" spans="1:23">
      <c r="A3" s="23">
        <v>9.36</v>
      </c>
      <c r="B3" s="23">
        <v>22.16</v>
      </c>
      <c r="C3" s="23">
        <v>30.1</v>
      </c>
      <c r="D3" s="23">
        <v>19.559999999999999</v>
      </c>
      <c r="E3" s="23">
        <v>17.78</v>
      </c>
      <c r="F3" s="23">
        <v>18.61</v>
      </c>
      <c r="G3" s="23">
        <v>10.88</v>
      </c>
      <c r="H3" s="23">
        <v>19.309999999999999</v>
      </c>
      <c r="I3" s="23">
        <v>24.93</v>
      </c>
      <c r="J3" s="23">
        <v>21.35</v>
      </c>
      <c r="K3" s="23">
        <v>15.3</v>
      </c>
      <c r="L3" s="23">
        <v>27.87</v>
      </c>
      <c r="M3" s="23">
        <v>27.84</v>
      </c>
      <c r="N3" s="23">
        <v>12.8</v>
      </c>
      <c r="O3" s="23">
        <v>21.03</v>
      </c>
      <c r="P3" s="23">
        <v>16.73</v>
      </c>
      <c r="Q3" s="23">
        <v>11.29</v>
      </c>
      <c r="R3" s="23">
        <v>9.14</v>
      </c>
      <c r="S3" s="23">
        <v>13.38</v>
      </c>
      <c r="T3" s="23">
        <v>22.37</v>
      </c>
      <c r="U3" s="18">
        <v>2011</v>
      </c>
      <c r="V3" s="18" t="s">
        <v>112</v>
      </c>
      <c r="W3" s="18"/>
    </row>
    <row r="4" spans="1:23">
      <c r="A4" s="23">
        <v>9.4</v>
      </c>
      <c r="B4" s="23">
        <v>22.87</v>
      </c>
      <c r="C4" s="23">
        <v>30.72</v>
      </c>
      <c r="D4" s="23">
        <v>19.86</v>
      </c>
      <c r="E4" s="23">
        <v>17.98</v>
      </c>
      <c r="F4" s="23">
        <v>18.86</v>
      </c>
      <c r="G4" s="23">
        <v>10.94</v>
      </c>
      <c r="H4" s="23">
        <v>19.43</v>
      </c>
      <c r="I4" s="23">
        <v>25.57</v>
      </c>
      <c r="J4" s="23">
        <v>21.78</v>
      </c>
      <c r="K4" s="23">
        <v>15.52</v>
      </c>
      <c r="L4" s="23">
        <v>28.43</v>
      </c>
      <c r="M4" s="23">
        <v>28.52</v>
      </c>
      <c r="N4" s="23">
        <v>12.74</v>
      </c>
      <c r="O4" s="23">
        <v>21.1</v>
      </c>
      <c r="P4" s="23">
        <v>16.940000000000001</v>
      </c>
      <c r="Q4" s="23">
        <v>11.39</v>
      </c>
      <c r="R4" s="23">
        <v>9.18</v>
      </c>
      <c r="S4" s="23">
        <v>13.54</v>
      </c>
      <c r="T4" s="23">
        <v>22.58</v>
      </c>
      <c r="U4" s="18">
        <v>2012</v>
      </c>
      <c r="V4" s="18" t="s">
        <v>112</v>
      </c>
      <c r="W4" s="18"/>
    </row>
    <row r="5" spans="1:23">
      <c r="A5" s="23">
        <v>9.43</v>
      </c>
      <c r="B5" s="23">
        <v>23.07</v>
      </c>
      <c r="C5" s="23">
        <v>31.75</v>
      </c>
      <c r="D5" s="23">
        <v>20.11</v>
      </c>
      <c r="E5" s="23">
        <v>18.12</v>
      </c>
      <c r="F5" s="23">
        <v>19.079999999999998</v>
      </c>
      <c r="G5" s="23">
        <v>11.05</v>
      </c>
      <c r="H5" s="23">
        <v>19.29</v>
      </c>
      <c r="I5" s="23">
        <v>26.12</v>
      </c>
      <c r="J5" s="23">
        <v>22.3</v>
      </c>
      <c r="K5" s="23">
        <v>15.83</v>
      </c>
      <c r="L5" s="23">
        <v>29</v>
      </c>
      <c r="M5" s="23">
        <v>29.08</v>
      </c>
      <c r="N5" s="23">
        <v>12.96</v>
      </c>
      <c r="O5" s="23">
        <v>21.22</v>
      </c>
      <c r="P5" s="23">
        <v>17.16</v>
      </c>
      <c r="Q5" s="23">
        <v>11.49</v>
      </c>
      <c r="R5" s="23">
        <v>9.2200000000000006</v>
      </c>
      <c r="S5" s="23">
        <v>13.69</v>
      </c>
      <c r="T5" s="23">
        <v>22.87</v>
      </c>
      <c r="U5" s="18">
        <v>2013</v>
      </c>
      <c r="V5" s="18" t="s">
        <v>112</v>
      </c>
      <c r="W5" s="18"/>
    </row>
    <row r="6" spans="1:23">
      <c r="A6" s="23">
        <v>9.6999999999999993</v>
      </c>
      <c r="B6" s="23">
        <v>23.56</v>
      </c>
      <c r="C6" s="23">
        <v>32.78</v>
      </c>
      <c r="D6" s="23">
        <v>20.36</v>
      </c>
      <c r="E6" s="23">
        <v>18.34</v>
      </c>
      <c r="F6" s="23">
        <v>19.29</v>
      </c>
      <c r="G6" s="23">
        <v>11.19</v>
      </c>
      <c r="H6" s="23">
        <v>19.48</v>
      </c>
      <c r="I6" s="23">
        <v>26.81</v>
      </c>
      <c r="J6" s="23">
        <v>22.86</v>
      </c>
      <c r="K6" s="23">
        <v>16.28</v>
      </c>
      <c r="L6" s="23">
        <v>29.45</v>
      </c>
      <c r="M6" s="23">
        <v>29.91</v>
      </c>
      <c r="N6" s="23">
        <v>13.15</v>
      </c>
      <c r="O6" s="23">
        <v>21.51</v>
      </c>
      <c r="P6" s="23">
        <v>17.38</v>
      </c>
      <c r="Q6" s="23">
        <v>11.68</v>
      </c>
      <c r="R6" s="23">
        <v>9.3000000000000007</v>
      </c>
      <c r="S6" s="23">
        <v>13.99</v>
      </c>
      <c r="T6" s="23">
        <v>23.49</v>
      </c>
      <c r="U6" s="18">
        <v>2014</v>
      </c>
      <c r="V6" s="18" t="s">
        <v>112</v>
      </c>
      <c r="W6" s="18"/>
    </row>
    <row r="7" spans="1:23">
      <c r="A7" s="23">
        <v>10.52</v>
      </c>
      <c r="B7" s="23">
        <v>23.83</v>
      </c>
      <c r="C7" s="23">
        <v>33.659999999999997</v>
      </c>
      <c r="D7" s="23">
        <v>20.84</v>
      </c>
      <c r="E7" s="23">
        <v>18.61</v>
      </c>
      <c r="F7" s="23">
        <v>19.7</v>
      </c>
      <c r="G7" s="23">
        <v>11.38</v>
      </c>
      <c r="H7" s="23">
        <v>19.309999999999999</v>
      </c>
      <c r="I7" s="23">
        <v>27.82</v>
      </c>
      <c r="J7" s="23">
        <v>23.6</v>
      </c>
      <c r="K7" s="23">
        <v>16.739999999999998</v>
      </c>
      <c r="L7" s="23">
        <v>30.12</v>
      </c>
      <c r="M7" s="23">
        <v>30.59</v>
      </c>
      <c r="N7" s="23">
        <v>13.43</v>
      </c>
      <c r="O7" s="23">
        <v>21.89</v>
      </c>
      <c r="P7" s="23">
        <v>17.72</v>
      </c>
      <c r="Q7" s="23">
        <v>11.99</v>
      </c>
      <c r="R7" s="23">
        <v>9.49</v>
      </c>
      <c r="S7" s="23">
        <v>14.3</v>
      </c>
      <c r="T7" s="23">
        <v>23.83</v>
      </c>
      <c r="U7" s="18">
        <v>2015</v>
      </c>
      <c r="V7" s="18" t="s">
        <v>112</v>
      </c>
      <c r="W7" s="18"/>
    </row>
    <row r="8" spans="1:23">
      <c r="A8" s="23">
        <v>11.36</v>
      </c>
      <c r="B8" s="23">
        <v>25.13</v>
      </c>
      <c r="C8" s="23">
        <v>34.76</v>
      </c>
      <c r="D8" s="23">
        <v>21.46</v>
      </c>
      <c r="E8" s="23">
        <v>19</v>
      </c>
      <c r="F8" s="23">
        <v>20.23</v>
      </c>
      <c r="G8" s="23">
        <v>11.66</v>
      </c>
      <c r="H8" s="23">
        <v>19.399999999999999</v>
      </c>
      <c r="I8" s="23">
        <v>28.55</v>
      </c>
      <c r="J8" s="23">
        <v>24.41</v>
      </c>
      <c r="K8" s="23">
        <v>17.239999999999998</v>
      </c>
      <c r="L8" s="23">
        <v>30.82</v>
      </c>
      <c r="M8" s="23">
        <v>31.43</v>
      </c>
      <c r="N8" s="23">
        <v>13.88</v>
      </c>
      <c r="O8" s="23">
        <v>22.46</v>
      </c>
      <c r="P8" s="23">
        <v>18.11</v>
      </c>
      <c r="Q8" s="23">
        <v>12.3</v>
      </c>
      <c r="R8" s="23">
        <v>10.01</v>
      </c>
      <c r="S8" s="23">
        <v>14.69</v>
      </c>
      <c r="T8" s="23">
        <v>24.36</v>
      </c>
      <c r="U8" s="18">
        <v>2016</v>
      </c>
      <c r="V8" s="18" t="s">
        <v>112</v>
      </c>
      <c r="W8" s="18"/>
    </row>
    <row r="9" spans="1:23">
      <c r="A9" s="23">
        <v>11.77</v>
      </c>
      <c r="B9" s="23">
        <v>24.84</v>
      </c>
      <c r="C9" s="23">
        <v>35.549999999999997</v>
      </c>
      <c r="D9" s="23">
        <v>22.03</v>
      </c>
      <c r="E9" s="23">
        <v>19.36</v>
      </c>
      <c r="F9" s="23">
        <v>20.63</v>
      </c>
      <c r="G9" s="23">
        <v>11.96</v>
      </c>
      <c r="H9" s="23">
        <v>19.690000000000001</v>
      </c>
      <c r="I9" s="23">
        <v>29.51</v>
      </c>
      <c r="J9" s="23">
        <v>25.1</v>
      </c>
      <c r="K9" s="23">
        <v>17.71</v>
      </c>
      <c r="L9" s="23">
        <v>31.43</v>
      </c>
      <c r="M9" s="23">
        <v>32.06</v>
      </c>
      <c r="N9" s="23">
        <v>14.28</v>
      </c>
      <c r="O9" s="23">
        <v>22.88</v>
      </c>
      <c r="P9" s="23">
        <v>18.16</v>
      </c>
      <c r="Q9" s="23">
        <v>12.66</v>
      </c>
      <c r="R9" s="23">
        <v>10.57</v>
      </c>
      <c r="S9" s="23">
        <v>15.03</v>
      </c>
      <c r="T9" s="23">
        <v>24.85</v>
      </c>
      <c r="U9" s="18">
        <v>2017</v>
      </c>
      <c r="V9" s="18" t="s">
        <v>112</v>
      </c>
      <c r="W9" s="18"/>
    </row>
    <row r="10" spans="1:23">
      <c r="A10" s="23">
        <v>12.26</v>
      </c>
      <c r="B10" s="23">
        <v>25.04</v>
      </c>
      <c r="C10" s="23">
        <v>36.49</v>
      </c>
      <c r="D10" s="23">
        <v>22.73</v>
      </c>
      <c r="E10" s="23">
        <v>19.88</v>
      </c>
      <c r="F10" s="23">
        <v>21.07</v>
      </c>
      <c r="G10" s="23">
        <v>12.4</v>
      </c>
      <c r="H10" s="23">
        <v>20.170000000000002</v>
      </c>
      <c r="I10" s="23">
        <v>30.49</v>
      </c>
      <c r="J10" s="23">
        <v>25.89</v>
      </c>
      <c r="K10" s="23">
        <v>18.41</v>
      </c>
      <c r="L10" s="23">
        <v>32.32</v>
      </c>
      <c r="M10" s="23">
        <v>33.18</v>
      </c>
      <c r="N10" s="23">
        <v>14.84</v>
      </c>
      <c r="O10" s="23">
        <v>23.48</v>
      </c>
      <c r="P10" s="23">
        <v>18.559999999999999</v>
      </c>
      <c r="Q10" s="23">
        <v>13.19</v>
      </c>
      <c r="R10" s="23">
        <v>11.12</v>
      </c>
      <c r="S10" s="23">
        <v>15.59</v>
      </c>
      <c r="T10" s="23">
        <v>25.57</v>
      </c>
      <c r="U10" s="18">
        <v>2018</v>
      </c>
      <c r="V10" s="18" t="s">
        <v>112</v>
      </c>
      <c r="W10" s="18"/>
    </row>
    <row r="11" spans="1:23">
      <c r="A11" s="28">
        <v>13.18</v>
      </c>
      <c r="B11" s="28">
        <v>25.44</v>
      </c>
      <c r="C11" s="28">
        <v>37.5</v>
      </c>
      <c r="D11" s="28">
        <v>23.57</v>
      </c>
      <c r="E11" s="28">
        <v>20.46</v>
      </c>
      <c r="F11" s="28">
        <v>21.72</v>
      </c>
      <c r="G11" s="28">
        <v>13.16</v>
      </c>
      <c r="H11" s="28">
        <v>20.58</v>
      </c>
      <c r="I11" s="28">
        <v>31.66</v>
      </c>
      <c r="J11" s="28">
        <v>27.01</v>
      </c>
      <c r="K11" s="28">
        <v>19.02</v>
      </c>
      <c r="L11" s="28">
        <v>33.5</v>
      </c>
      <c r="M11" s="28">
        <v>34.229999999999997</v>
      </c>
      <c r="N11" s="28">
        <v>15.48</v>
      </c>
      <c r="O11" s="28">
        <v>24.11</v>
      </c>
      <c r="P11" s="28">
        <v>18.989999999999998</v>
      </c>
      <c r="Q11" s="28">
        <v>13.88</v>
      </c>
      <c r="R11" s="28">
        <v>11.64</v>
      </c>
      <c r="S11" s="28">
        <v>16.329999999999998</v>
      </c>
      <c r="T11" s="28">
        <v>26.21</v>
      </c>
      <c r="U11" s="18">
        <v>2019</v>
      </c>
      <c r="V11" s="18" t="s">
        <v>112</v>
      </c>
      <c r="W11" s="18"/>
    </row>
    <row r="12" spans="1:23">
      <c r="A12" s="23">
        <v>14.43</v>
      </c>
      <c r="B12" s="23">
        <v>26.41</v>
      </c>
      <c r="C12" s="23">
        <v>38.770000000000003</v>
      </c>
      <c r="D12" s="23">
        <v>24.26</v>
      </c>
      <c r="E12" s="23">
        <v>21.2</v>
      </c>
      <c r="F12" s="23">
        <v>22.51</v>
      </c>
      <c r="G12" s="23">
        <v>13.97</v>
      </c>
      <c r="H12" s="23">
        <v>20.96</v>
      </c>
      <c r="I12" s="23">
        <v>34.200000000000003</v>
      </c>
      <c r="J12" s="23">
        <v>28.04</v>
      </c>
      <c r="K12" s="23">
        <v>19.690000000000001</v>
      </c>
      <c r="L12" s="23">
        <v>34.86</v>
      </c>
      <c r="M12" s="23">
        <v>35.61</v>
      </c>
      <c r="N12" s="23">
        <v>16.29</v>
      </c>
      <c r="O12" s="23">
        <v>24.85</v>
      </c>
      <c r="P12" s="23">
        <v>19.600000000000001</v>
      </c>
      <c r="Q12" s="23">
        <v>14.72</v>
      </c>
      <c r="R12" s="23">
        <v>12.19</v>
      </c>
      <c r="S12" s="23">
        <v>17.5</v>
      </c>
      <c r="T12" s="23">
        <v>27.22</v>
      </c>
      <c r="U12" s="18">
        <v>2020</v>
      </c>
      <c r="V12" s="18" t="s">
        <v>112</v>
      </c>
      <c r="W12" s="18"/>
    </row>
    <row r="13" spans="1:23">
      <c r="A13" s="23">
        <v>14.43</v>
      </c>
      <c r="B13" s="23">
        <v>28.81</v>
      </c>
      <c r="C13" s="23">
        <v>39.53</v>
      </c>
      <c r="D13" s="23">
        <v>23.59</v>
      </c>
      <c r="E13" s="23">
        <v>22.51</v>
      </c>
      <c r="F13" s="23">
        <v>22.97</v>
      </c>
      <c r="G13" s="23">
        <v>14.36</v>
      </c>
      <c r="H13" s="23">
        <v>22.47</v>
      </c>
      <c r="I13" s="23">
        <v>37.020000000000003</v>
      </c>
      <c r="J13" s="23">
        <v>29.44</v>
      </c>
      <c r="K13" s="23">
        <v>21.36</v>
      </c>
      <c r="L13" s="23">
        <v>36.979999999999997</v>
      </c>
      <c r="M13" s="23">
        <v>37.380000000000003</v>
      </c>
      <c r="N13" s="23">
        <v>17.48</v>
      </c>
      <c r="O13" s="23">
        <v>24.1</v>
      </c>
      <c r="P13" s="23">
        <v>20.23</v>
      </c>
      <c r="Q13" s="23">
        <v>14.7</v>
      </c>
      <c r="R13" s="23">
        <v>13.69</v>
      </c>
      <c r="S13" s="23">
        <v>18.02</v>
      </c>
      <c r="T13" s="23">
        <v>28.91</v>
      </c>
      <c r="U13" s="18">
        <v>2021</v>
      </c>
      <c r="V13" s="18" t="s">
        <v>112</v>
      </c>
      <c r="W13" s="18"/>
    </row>
    <row r="14" spans="1:23">
      <c r="A14" s="23">
        <v>16.36</v>
      </c>
      <c r="B14" s="23">
        <v>28.5</v>
      </c>
      <c r="C14" s="23">
        <v>44.23</v>
      </c>
      <c r="D14" s="23">
        <v>26.22</v>
      </c>
      <c r="E14" s="23">
        <v>22.89</v>
      </c>
      <c r="F14" s="23">
        <v>23.94</v>
      </c>
      <c r="G14" s="23">
        <v>15.99</v>
      </c>
      <c r="H14" s="23">
        <v>22.8</v>
      </c>
      <c r="I14" s="23">
        <v>38.450000000000003</v>
      </c>
      <c r="J14" s="23">
        <v>30.42</v>
      </c>
      <c r="K14" s="23">
        <v>22.21</v>
      </c>
      <c r="L14" s="23">
        <v>37.770000000000003</v>
      </c>
      <c r="M14" s="23">
        <v>38.71</v>
      </c>
      <c r="N14" s="23">
        <v>17.75</v>
      </c>
      <c r="O14" s="23">
        <v>26.49</v>
      </c>
      <c r="P14" s="23">
        <v>21.59</v>
      </c>
      <c r="Q14" s="23">
        <v>16.72</v>
      </c>
      <c r="R14" s="23">
        <v>14.31</v>
      </c>
      <c r="S14" s="23">
        <v>18.88</v>
      </c>
      <c r="T14" s="23">
        <v>29.36</v>
      </c>
      <c r="U14" s="18">
        <v>2022</v>
      </c>
      <c r="V14" s="18" t="s">
        <v>112</v>
      </c>
      <c r="W14" s="18"/>
    </row>
    <row r="15" spans="1:23" ht="25">
      <c r="A15" s="19">
        <f>A2*Index!$D$14</f>
        <v>12.346007905138341</v>
      </c>
      <c r="B15" s="19">
        <f>B2*Index!$D$14</f>
        <v>28.601146245059287</v>
      </c>
      <c r="C15" s="19">
        <f>C2*Index!$D$14</f>
        <v>38.459525691699604</v>
      </c>
      <c r="D15" s="19">
        <f>D2*Index!$D$14</f>
        <v>25.205335968379444</v>
      </c>
      <c r="E15" s="19">
        <f>E2*Index!$D$14</f>
        <v>22.980948616600791</v>
      </c>
      <c r="F15" s="19">
        <f>F2*Index!$D$14</f>
        <v>24.073399209486166</v>
      </c>
      <c r="G15" s="19">
        <f>G2*Index!$D$14</f>
        <v>14.083399209486165</v>
      </c>
      <c r="H15" s="19">
        <f>H2*Index!$D$14</f>
        <v>24.75782608695652</v>
      </c>
      <c r="I15" s="19">
        <f>I2*Index!$D$14</f>
        <v>31.812687747035575</v>
      </c>
      <c r="J15" s="19">
        <f>J2*Index!$D$14</f>
        <v>27.179644268774702</v>
      </c>
      <c r="K15" s="19">
        <f>K2*Index!$D$14</f>
        <v>19.716758893280634</v>
      </c>
      <c r="L15" s="19">
        <f>L2*Index!$D$14</f>
        <v>35.629683794466402</v>
      </c>
      <c r="M15" s="19">
        <f>M2*Index!$D$14</f>
        <v>35.247984189723319</v>
      </c>
      <c r="N15" s="19">
        <f>N2*Index!$D$14</f>
        <v>16.676324110671935</v>
      </c>
      <c r="O15" s="19">
        <f>O2*Index!$D$14</f>
        <v>27.28494071146245</v>
      </c>
      <c r="P15" s="19">
        <f>P2*Index!$D$14</f>
        <v>21.493636363636362</v>
      </c>
      <c r="Q15" s="19">
        <f>Q2*Index!$D$14</f>
        <v>14.767826086956521</v>
      </c>
      <c r="R15" s="19">
        <f>R2*Index!$D$14</f>
        <v>11.911660079051384</v>
      </c>
      <c r="S15" s="19">
        <f>S2*Index!$D$14</f>
        <v>17.426561264822134</v>
      </c>
      <c r="T15" s="19">
        <f>T2*Index!$D$14</f>
        <v>28.917035573122526</v>
      </c>
      <c r="U15" s="18">
        <v>2010</v>
      </c>
      <c r="V15" s="17" t="s">
        <v>84</v>
      </c>
      <c r="W15" s="18">
        <v>35620</v>
      </c>
    </row>
    <row r="16" spans="1:23" ht="25">
      <c r="A16" s="19">
        <f>A3*Index!$D$13</f>
        <v>12.326623544631303</v>
      </c>
      <c r="B16" s="19">
        <f>B3*Index!$D$13</f>
        <v>29.183544631306592</v>
      </c>
      <c r="C16" s="19">
        <f>C3*Index!$D$13</f>
        <v>39.640103492884862</v>
      </c>
      <c r="D16" s="19">
        <f>D3*Index!$D$13</f>
        <v>25.759482535575675</v>
      </c>
      <c r="E16" s="19">
        <f>E3*Index!$D$13</f>
        <v>23.415316946959894</v>
      </c>
      <c r="F16" s="19">
        <f>F3*Index!$D$13</f>
        <v>24.508382923673992</v>
      </c>
      <c r="G16" s="19">
        <f>G3*Index!$D$13</f>
        <v>14.328382923673995</v>
      </c>
      <c r="H16" s="19">
        <f>H3*Index!$D$13</f>
        <v>25.430245795601547</v>
      </c>
      <c r="I16" s="19">
        <f>I3*Index!$D$13</f>
        <v>32.831487710219918</v>
      </c>
      <c r="J16" s="19">
        <f>J3*Index!$D$13</f>
        <v>28.116817593790426</v>
      </c>
      <c r="K16" s="19">
        <f>K3*Index!$D$13</f>
        <v>20.149288486416555</v>
      </c>
      <c r="L16" s="19">
        <f>L3*Index!$D$13</f>
        <v>36.703311772315651</v>
      </c>
      <c r="M16" s="19">
        <f>M3*Index!$D$13</f>
        <v>36.663803363518753</v>
      </c>
      <c r="N16" s="19">
        <f>N3*Index!$D$13</f>
        <v>16.856921086675289</v>
      </c>
      <c r="O16" s="19">
        <f>O3*Index!$D$13</f>
        <v>27.695394566623541</v>
      </c>
      <c r="P16" s="19">
        <f>P3*Index!$D$13</f>
        <v>22.03252263906856</v>
      </c>
      <c r="Q16" s="19">
        <f>Q3*Index!$D$13</f>
        <v>14.868331177231562</v>
      </c>
      <c r="R16" s="19">
        <f>R3*Index!$D$13</f>
        <v>12.036895213454073</v>
      </c>
      <c r="S16" s="19">
        <f>S3*Index!$D$13</f>
        <v>17.620750323415262</v>
      </c>
      <c r="T16" s="19">
        <f>T3*Index!$D$13</f>
        <v>29.460103492884862</v>
      </c>
      <c r="U16" s="18">
        <v>2011</v>
      </c>
      <c r="V16" s="17" t="s">
        <v>84</v>
      </c>
      <c r="W16" s="18">
        <v>35620</v>
      </c>
    </row>
    <row r="17" spans="1:23" ht="25">
      <c r="A17" s="19">
        <f xml:space="preserve"> A4*Index!$D$12</f>
        <v>12.326982097186701</v>
      </c>
      <c r="B17" s="19">
        <f xml:space="preserve"> B4*Index!$D$12</f>
        <v>29.991285166240409</v>
      </c>
      <c r="C17" s="19">
        <f xml:space="preserve"> C4*Index!$D$12</f>
        <v>40.28562659846547</v>
      </c>
      <c r="D17" s="19">
        <f xml:space="preserve"> D4*Index!$D$12</f>
        <v>26.044028132992324</v>
      </c>
      <c r="E17" s="19">
        <f xml:space="preserve"> E4*Index!$D$12</f>
        <v>23.578631713554987</v>
      </c>
      <c r="F17" s="19">
        <f xml:space="preserve"> F4*Index!$D$12</f>
        <v>24.732647058823527</v>
      </c>
      <c r="G17" s="19">
        <f xml:space="preserve"> G4*Index!$D$12</f>
        <v>14.346508951406648</v>
      </c>
      <c r="H17" s="19">
        <f xml:space="preserve"> H4*Index!$D$12</f>
        <v>25.480134271099743</v>
      </c>
      <c r="I17" s="19">
        <f xml:space="preserve"> I4*Index!$D$12</f>
        <v>33.53201406649616</v>
      </c>
      <c r="J17" s="19">
        <f xml:space="preserve"> J4*Index!$D$12</f>
        <v>28.561879795396418</v>
      </c>
      <c r="K17" s="19">
        <f xml:space="preserve"> K4*Index!$D$12</f>
        <v>20.352634271099742</v>
      </c>
      <c r="L17" s="19">
        <f xml:space="preserve"> L4*Index!$D$12</f>
        <v>37.282563938618921</v>
      </c>
      <c r="M17" s="19">
        <f xml:space="preserve"> M4*Index!$D$12</f>
        <v>37.400588235294116</v>
      </c>
      <c r="N17" s="19">
        <f xml:space="preserve"> N4*Index!$D$12</f>
        <v>16.706994884910486</v>
      </c>
      <c r="O17" s="19">
        <f xml:space="preserve"> O4*Index!$D$12</f>
        <v>27.670140664961636</v>
      </c>
      <c r="P17" s="19">
        <f xml:space="preserve"> P4*Index!$D$12</f>
        <v>22.214795396419436</v>
      </c>
      <c r="Q17" s="19">
        <f xml:space="preserve"> Q4*Index!$D$12</f>
        <v>14.936630434782609</v>
      </c>
      <c r="R17" s="19">
        <f xml:space="preserve"> R4*Index!$D$12</f>
        <v>12.038478260869564</v>
      </c>
      <c r="S17" s="19">
        <f xml:space="preserve"> S4*Index!$D$12</f>
        <v>17.756099744245521</v>
      </c>
      <c r="T17" s="19">
        <f xml:space="preserve"> T4*Index!$D$12</f>
        <v>29.610984654731453</v>
      </c>
      <c r="U17" s="18">
        <v>2012</v>
      </c>
      <c r="V17" s="17" t="s">
        <v>84</v>
      </c>
      <c r="W17" s="18">
        <v>35620</v>
      </c>
    </row>
    <row r="18" spans="1:23" ht="25">
      <c r="A18" s="19">
        <f>A5*Index!$D$11</f>
        <v>12.382828282828283</v>
      </c>
      <c r="B18" s="19">
        <f>B5*Index!$D$11</f>
        <v>30.293939393939393</v>
      </c>
      <c r="C18" s="19">
        <f>C5*Index!$D$11</f>
        <v>41.69191919191919</v>
      </c>
      <c r="D18" s="19">
        <f>D5*Index!$D$11</f>
        <v>26.407070707070705</v>
      </c>
      <c r="E18" s="19">
        <f>E5*Index!$D$11</f>
        <v>23.793939393939397</v>
      </c>
      <c r="F18" s="19">
        <f>F5*Index!$D$11</f>
        <v>25.054545454545451</v>
      </c>
      <c r="G18" s="19">
        <f>G5*Index!$D$11</f>
        <v>14.51010101010101</v>
      </c>
      <c r="H18" s="19">
        <f>H5*Index!$D$11</f>
        <v>25.330303030303028</v>
      </c>
      <c r="I18" s="19">
        <f>I5*Index!$D$11</f>
        <v>34.298989898989902</v>
      </c>
      <c r="J18" s="19">
        <f>J5*Index!$D$11</f>
        <v>29.282828282828284</v>
      </c>
      <c r="K18" s="19">
        <f>K5*Index!$D$11</f>
        <v>20.786868686868686</v>
      </c>
      <c r="L18" s="19">
        <f>L5*Index!$D$11</f>
        <v>38.080808080808083</v>
      </c>
      <c r="M18" s="19">
        <f>M5*Index!$D$11</f>
        <v>38.185858585858583</v>
      </c>
      <c r="N18" s="19">
        <f>N5*Index!$D$11</f>
        <v>17.018181818181819</v>
      </c>
      <c r="O18" s="19">
        <f>O5*Index!$D$11</f>
        <v>27.864646464646462</v>
      </c>
      <c r="P18" s="19">
        <f>P5*Index!$D$11</f>
        <v>22.533333333333335</v>
      </c>
      <c r="Q18" s="19">
        <f>Q5*Index!$D$11</f>
        <v>15.087878787878788</v>
      </c>
      <c r="R18" s="19">
        <f>R5*Index!$D$11</f>
        <v>12.107070707070708</v>
      </c>
      <c r="S18" s="19">
        <f>S5*Index!$D$11</f>
        <v>17.976767676767675</v>
      </c>
      <c r="T18" s="19">
        <f>T5*Index!$D$11</f>
        <v>30.031313131313134</v>
      </c>
      <c r="U18" s="18">
        <v>2013</v>
      </c>
      <c r="V18" s="17" t="s">
        <v>84</v>
      </c>
      <c r="W18" s="18">
        <v>35620</v>
      </c>
    </row>
    <row r="19" spans="1:23" ht="25">
      <c r="A19" s="19">
        <f>A6*Index!$D$10</f>
        <v>12.661878109452736</v>
      </c>
      <c r="B19" s="19">
        <f>B6*Index!$D$10</f>
        <v>30.754004975124378</v>
      </c>
      <c r="C19" s="19">
        <f>C6*Index!$D$10</f>
        <v>42.789315920398018</v>
      </c>
      <c r="D19" s="19">
        <f>D6*Index!$D$10</f>
        <v>26.576890547263684</v>
      </c>
      <c r="E19" s="19">
        <f>E6*Index!$D$10</f>
        <v>23.940087064676618</v>
      </c>
      <c r="F19" s="19">
        <f>F6*Index!$D$10</f>
        <v>25.180167910447761</v>
      </c>
      <c r="G19" s="19">
        <f>G6*Index!$D$10</f>
        <v>14.606847014925373</v>
      </c>
      <c r="H19" s="19">
        <f>H6*Index!$D$10</f>
        <v>25.428184079601994</v>
      </c>
      <c r="I19" s="19">
        <f>I6*Index!$D$10</f>
        <v>34.996386815920395</v>
      </c>
      <c r="J19" s="19">
        <f>J6*Index!$D$10</f>
        <v>29.840261194029853</v>
      </c>
      <c r="K19" s="19">
        <f>K6*Index!$D$10</f>
        <v>21.251069651741297</v>
      </c>
      <c r="L19" s="19">
        <f>L6*Index!$D$10</f>
        <v>38.442506218905471</v>
      </c>
      <c r="M19" s="19">
        <f>M6*Index!$D$10</f>
        <v>39.042966417910449</v>
      </c>
      <c r="N19" s="19">
        <f>N6*Index!$D$10</f>
        <v>17.165329601990052</v>
      </c>
      <c r="O19" s="19">
        <f>O6*Index!$D$10</f>
        <v>28.078041044776125</v>
      </c>
      <c r="P19" s="19">
        <f>P6*Index!$D$10</f>
        <v>22.686952736318407</v>
      </c>
      <c r="Q19" s="19">
        <f>Q6*Index!$D$10</f>
        <v>15.246467661691543</v>
      </c>
      <c r="R19" s="19">
        <f>R6*Index!$D$10</f>
        <v>12.139738805970151</v>
      </c>
      <c r="S19" s="19">
        <f>S6*Index!$D$10</f>
        <v>18.261822139303483</v>
      </c>
      <c r="T19" s="19">
        <f>T6*Index!$D$10</f>
        <v>30.662630597014925</v>
      </c>
      <c r="U19" s="18">
        <v>2014</v>
      </c>
      <c r="V19" s="17" t="s">
        <v>84</v>
      </c>
      <c r="W19" s="18">
        <v>35620</v>
      </c>
    </row>
    <row r="20" spans="1:23" ht="25">
      <c r="A20" s="19">
        <f xml:space="preserve"> A7*Index!$D$9</f>
        <v>13.582460414129109</v>
      </c>
      <c r="B20" s="19">
        <f xml:space="preserve"> B7*Index!$D$9</f>
        <v>30.767113276492079</v>
      </c>
      <c r="C20" s="19">
        <f xml:space="preserve"> C7*Index!$D$9</f>
        <v>43.458708891595606</v>
      </c>
      <c r="D20" s="19">
        <f xml:space="preserve"> D7*Index!$D$9</f>
        <v>26.906699147381239</v>
      </c>
      <c r="E20" s="19">
        <f xml:space="preserve"> E7*Index!$D$9</f>
        <v>24.027527405602921</v>
      </c>
      <c r="F20" s="19">
        <f xml:space="preserve"> F7*Index!$D$9</f>
        <v>25.434835566382457</v>
      </c>
      <c r="G20" s="19">
        <f xml:space="preserve"> G7*Index!$D$9</f>
        <v>14.692813641900122</v>
      </c>
      <c r="H20" s="19">
        <f xml:space="preserve"> H7*Index!$D$9</f>
        <v>24.931303288672346</v>
      </c>
      <c r="I20" s="19">
        <f xml:space="preserve"> I7*Index!$D$9</f>
        <v>35.918635809987819</v>
      </c>
      <c r="J20" s="19">
        <f xml:space="preserve"> J7*Index!$D$9</f>
        <v>30.470158343483558</v>
      </c>
      <c r="K20" s="19">
        <f xml:space="preserve"> K7*Index!$D$9</f>
        <v>21.613154689403164</v>
      </c>
      <c r="L20" s="19">
        <f xml:space="preserve"> L7*Index!$D$9</f>
        <v>38.888185140073077</v>
      </c>
      <c r="M20" s="19">
        <f xml:space="preserve"> M7*Index!$D$9</f>
        <v>39.495006090133977</v>
      </c>
      <c r="N20" s="19">
        <f xml:space="preserve"> N7*Index!$D$9</f>
        <v>17.339585870889159</v>
      </c>
      <c r="O20" s="19">
        <f xml:space="preserve"> O7*Index!$D$9</f>
        <v>28.262362971985382</v>
      </c>
      <c r="P20" s="19">
        <f xml:space="preserve"> P7*Index!$D$9</f>
        <v>22.878440925700364</v>
      </c>
      <c r="Q20" s="19">
        <f xml:space="preserve"> Q7*Index!$D$9</f>
        <v>15.480389768574907</v>
      </c>
      <c r="R20" s="19">
        <f xml:space="preserve"> R7*Index!$D$9</f>
        <v>12.252618757612668</v>
      </c>
      <c r="S20" s="19">
        <f xml:space="preserve"> S7*Index!$D$9</f>
        <v>18.46285018270402</v>
      </c>
      <c r="T20" s="19">
        <f xml:space="preserve"> T7*Index!$D$9</f>
        <v>30.767113276492079</v>
      </c>
      <c r="U20" s="18">
        <v>2015</v>
      </c>
      <c r="V20" s="17" t="s">
        <v>84</v>
      </c>
      <c r="W20" s="18">
        <v>35620</v>
      </c>
    </row>
    <row r="21" spans="1:23" ht="25">
      <c r="A21" s="19">
        <f xml:space="preserve"> A8*Index!$D$8</f>
        <v>14.665463182897861</v>
      </c>
      <c r="B21" s="19">
        <f xml:space="preserve"> B8*Index!$D$8</f>
        <v>32.442173396674583</v>
      </c>
      <c r="C21" s="19">
        <f xml:space="preserve"> C8*Index!$D$8</f>
        <v>44.87425178147268</v>
      </c>
      <c r="D21" s="19">
        <f xml:space="preserve"> D8*Index!$D$8</f>
        <v>27.704299287410926</v>
      </c>
      <c r="E21" s="19">
        <f xml:space="preserve"> E8*Index!$D$8</f>
        <v>24.528503562945367</v>
      </c>
      <c r="F21" s="19">
        <f xml:space="preserve"> F8*Index!$D$8</f>
        <v>26.116401425178147</v>
      </c>
      <c r="G21" s="19">
        <f xml:space="preserve"> G8*Index!$D$8</f>
        <v>15.052755344418053</v>
      </c>
      <c r="H21" s="19">
        <f xml:space="preserve"> H8*Index!$D$8</f>
        <v>25.044893111638952</v>
      </c>
      <c r="I21" s="19">
        <f xml:space="preserve"> I8*Index!$D$8</f>
        <v>36.857304038004749</v>
      </c>
      <c r="J21" s="19">
        <f xml:space="preserve"> J8*Index!$D$8</f>
        <v>31.512672209026128</v>
      </c>
      <c r="K21" s="19">
        <f xml:space="preserve"> K8*Index!$D$8</f>
        <v>22.256389548693583</v>
      </c>
      <c r="L21" s="19">
        <f xml:space="preserve"> L8*Index!$D$8</f>
        <v>39.787814726840857</v>
      </c>
      <c r="M21" s="19">
        <f xml:space="preserve"> M8*Index!$D$8</f>
        <v>40.575308788598576</v>
      </c>
      <c r="N21" s="19">
        <f xml:space="preserve"> N8*Index!$D$8</f>
        <v>17.918717339667459</v>
      </c>
      <c r="O21" s="19">
        <f xml:space="preserve"> O8*Index!$D$8</f>
        <v>28.995273159144894</v>
      </c>
      <c r="P21" s="19">
        <f xml:space="preserve"> P8*Index!$D$8</f>
        <v>23.379536817102135</v>
      </c>
      <c r="Q21" s="19">
        <f xml:space="preserve"> Q8*Index!$D$8</f>
        <v>15.878978622327791</v>
      </c>
      <c r="R21" s="19">
        <f xml:space="preserve"> R8*Index!$D$8</f>
        <v>12.922648456057006</v>
      </c>
      <c r="S21" s="19">
        <f xml:space="preserve"> S8*Index!$D$8</f>
        <v>18.96440617577197</v>
      </c>
      <c r="T21" s="19">
        <f xml:space="preserve"> T8*Index!$D$8</f>
        <v>31.448123515439427</v>
      </c>
      <c r="U21" s="18">
        <v>2016</v>
      </c>
      <c r="V21" s="17" t="s">
        <v>84</v>
      </c>
      <c r="W21" s="18">
        <v>35620</v>
      </c>
    </row>
    <row r="22" spans="1:23" ht="25">
      <c r="A22" s="19">
        <f xml:space="preserve"> A9*Index!$D$7</f>
        <v>15.128940011648222</v>
      </c>
      <c r="B22" s="19">
        <f xml:space="preserve"> B9*Index!$D$7</f>
        <v>31.92887594641817</v>
      </c>
      <c r="C22" s="19">
        <f xml:space="preserve"> C9*Index!$D$7</f>
        <v>45.695311589982524</v>
      </c>
      <c r="D22" s="19">
        <f xml:space="preserve"> D9*Index!$D$7</f>
        <v>28.316953989516598</v>
      </c>
      <c r="E22" s="19">
        <f xml:space="preserve"> E9*Index!$D$7</f>
        <v>24.884985439720442</v>
      </c>
      <c r="F22" s="19">
        <f xml:space="preserve"> F9*Index!$D$7</f>
        <v>26.51741991846243</v>
      </c>
      <c r="G22" s="19">
        <f xml:space="preserve"> G9*Index!$D$7</f>
        <v>15.37316249271986</v>
      </c>
      <c r="H22" s="19">
        <f xml:space="preserve"> H9*Index!$D$7</f>
        <v>25.309161327897495</v>
      </c>
      <c r="I22" s="19">
        <f xml:space="preserve"> I9*Index!$D$7</f>
        <v>37.931607454863133</v>
      </c>
      <c r="J22" s="19">
        <f xml:space="preserve"> J9*Index!$D$7</f>
        <v>32.263075131042513</v>
      </c>
      <c r="K22" s="19">
        <f xml:space="preserve"> K9*Index!$D$7</f>
        <v>22.764105998835177</v>
      </c>
      <c r="L22" s="19">
        <f xml:space="preserve"> L9*Index!$D$7</f>
        <v>40.399539895165987</v>
      </c>
      <c r="M22" s="19">
        <f xml:space="preserve"> M9*Index!$D$7</f>
        <v>41.209330227140363</v>
      </c>
      <c r="N22" s="19">
        <f xml:space="preserve"> N9*Index!$D$7</f>
        <v>18.355247524752475</v>
      </c>
      <c r="O22" s="19">
        <f xml:space="preserve"> O9*Index!$D$7</f>
        <v>29.409528246942337</v>
      </c>
      <c r="P22" s="19">
        <f xml:space="preserve"> P9*Index!$D$7</f>
        <v>23.342527664531158</v>
      </c>
      <c r="Q22" s="19">
        <f xml:space="preserve"> Q9*Index!$D$7</f>
        <v>16.272929528246941</v>
      </c>
      <c r="R22" s="19">
        <f xml:space="preserve"> R9*Index!$D$7</f>
        <v>13.58648223645894</v>
      </c>
      <c r="S22" s="19">
        <f xml:space="preserve"> S9*Index!$D$7</f>
        <v>19.319283634245775</v>
      </c>
      <c r="T22" s="19">
        <f xml:space="preserve"> T9*Index!$D$7</f>
        <v>31.941729761211416</v>
      </c>
      <c r="U22" s="18">
        <v>2017</v>
      </c>
      <c r="V22" s="17" t="s">
        <v>84</v>
      </c>
      <c r="W22" s="18">
        <v>35620</v>
      </c>
    </row>
    <row r="23" spans="1:23" ht="25">
      <c r="A23" s="19">
        <f xml:space="preserve"> A10*Index!$D$6</f>
        <v>15.708341822297678</v>
      </c>
      <c r="B23" s="19">
        <f xml:space="preserve"> B10*Index!$D$6</f>
        <v>32.082942840973395</v>
      </c>
      <c r="C23" s="19">
        <f xml:space="preserve"> C10*Index!$D$6</f>
        <v>46.753457838143746</v>
      </c>
      <c r="D23" s="19">
        <f xml:space="preserve"> D10*Index!$D$6</f>
        <v>29.123214487832481</v>
      </c>
      <c r="E23" s="19">
        <f xml:space="preserve"> E10*Index!$D$6</f>
        <v>25.471601584606674</v>
      </c>
      <c r="F23" s="19">
        <f xml:space="preserve"> F10*Index!$D$6</f>
        <v>26.996310130164119</v>
      </c>
      <c r="G23" s="19">
        <f xml:space="preserve"> G10*Index!$D$6</f>
        <v>15.887719298245614</v>
      </c>
      <c r="H23" s="19">
        <f xml:space="preserve"> H10*Index!$D$6</f>
        <v>25.843169213355971</v>
      </c>
      <c r="I23" s="19">
        <f xml:space="preserve"> I10*Index!$D$6</f>
        <v>39.065851726089413</v>
      </c>
      <c r="J23" s="19">
        <f xml:space="preserve"> J10*Index!$D$6</f>
        <v>33.172020373514428</v>
      </c>
      <c r="K23" s="19">
        <f xml:space="preserve"> K10*Index!$D$6</f>
        <v>23.588138087153364</v>
      </c>
      <c r="L23" s="19">
        <f xml:space="preserve"> L10*Index!$D$6</f>
        <v>41.410571590265981</v>
      </c>
      <c r="M23" s="19">
        <f xml:space="preserve"> M10*Index!$D$6</f>
        <v>42.512461799660436</v>
      </c>
      <c r="N23" s="19">
        <f xml:space="preserve"> N10*Index!$D$6</f>
        <v>19.01401245048104</v>
      </c>
      <c r="O23" s="19">
        <f xml:space="preserve"> O10*Index!$D$6</f>
        <v>30.084165251839273</v>
      </c>
      <c r="P23" s="19">
        <f xml:space="preserve"> P10*Index!$D$6</f>
        <v>23.78032823995472</v>
      </c>
      <c r="Q23" s="19">
        <f xml:space="preserve"> Q10*Index!$D$6</f>
        <v>16.8999207696661</v>
      </c>
      <c r="R23" s="19">
        <f xml:space="preserve"> R10*Index!$D$6</f>
        <v>14.247696661007355</v>
      </c>
      <c r="S23" s="19">
        <f xml:space="preserve"> S10*Index!$D$6</f>
        <v>19.974963214487829</v>
      </c>
      <c r="T23" s="19">
        <f xml:space="preserve"> T10*Index!$D$6</f>
        <v>32.762014714204867</v>
      </c>
      <c r="U23" s="18">
        <v>2018</v>
      </c>
      <c r="V23" s="17" t="s">
        <v>84</v>
      </c>
      <c r="W23" s="18">
        <v>35620</v>
      </c>
    </row>
    <row r="24" spans="1:23" ht="25">
      <c r="A24" s="19">
        <f xml:space="preserve"> A11*Index!$D$5</f>
        <v>16.957063013698633</v>
      </c>
      <c r="B24" s="19">
        <f xml:space="preserve"> B11*Index!$D$5</f>
        <v>32.730476712328773</v>
      </c>
      <c r="C24" s="19">
        <f xml:space="preserve"> C11*Index!$D$5</f>
        <v>48.246575342465761</v>
      </c>
      <c r="D24" s="19">
        <f xml:space="preserve"> D11*Index!$D$5</f>
        <v>30.324580821917813</v>
      </c>
      <c r="E24" s="19">
        <f xml:space="preserve"> E11*Index!$D$5</f>
        <v>26.323331506849318</v>
      </c>
      <c r="F24" s="19">
        <f xml:space="preserve"> F11*Index!$D$5</f>
        <v>27.944416438356164</v>
      </c>
      <c r="G24" s="19">
        <f xml:space="preserve"> G11*Index!$D$5</f>
        <v>16.931331506849318</v>
      </c>
      <c r="H24" s="19">
        <f xml:space="preserve"> H11*Index!$D$5</f>
        <v>26.477720547945207</v>
      </c>
      <c r="I24" s="19">
        <f xml:space="preserve"> I11*Index!$D$5</f>
        <v>40.732975342465757</v>
      </c>
      <c r="J24" s="19">
        <f xml:space="preserve"> J11*Index!$D$5</f>
        <v>34.750400000000006</v>
      </c>
      <c r="K24" s="19">
        <f xml:space="preserve"> K11*Index!$D$5</f>
        <v>24.470663013698633</v>
      </c>
      <c r="L24" s="19">
        <f xml:space="preserve"> L11*Index!$D$5</f>
        <v>43.100273972602743</v>
      </c>
      <c r="M24" s="19">
        <f xml:space="preserve"> M11*Index!$D$5</f>
        <v>44.039473972602742</v>
      </c>
      <c r="N24" s="19">
        <f xml:space="preserve"> N11*Index!$D$5</f>
        <v>19.916186301369866</v>
      </c>
      <c r="O24" s="19">
        <f xml:space="preserve"> O11*Index!$D$5</f>
        <v>31.019331506849319</v>
      </c>
      <c r="P24" s="19">
        <f xml:space="preserve"> P11*Index!$D$5</f>
        <v>24.432065753424659</v>
      </c>
      <c r="Q24" s="19">
        <f xml:space="preserve"> Q11*Index!$D$5</f>
        <v>17.857665753424662</v>
      </c>
      <c r="R24" s="19">
        <f xml:space="preserve"> R11*Index!$D$5</f>
        <v>14.975736986301373</v>
      </c>
      <c r="S24" s="19">
        <f xml:space="preserve"> S11*Index!$D$5</f>
        <v>21.009775342465755</v>
      </c>
      <c r="T24" s="19">
        <f xml:space="preserve"> T11*Index!$D$5</f>
        <v>33.721139726027403</v>
      </c>
      <c r="U24" s="18">
        <v>2019</v>
      </c>
      <c r="V24" s="17" t="s">
        <v>84</v>
      </c>
      <c r="W24" s="18">
        <v>35620</v>
      </c>
    </row>
    <row r="25" spans="1:23" ht="25">
      <c r="A25" s="19">
        <f xml:space="preserve"> A12*Index!$D$4</f>
        <v>18.80637311099531</v>
      </c>
      <c r="B25" s="19">
        <f xml:space="preserve"> B12*Index!$D$4</f>
        <v>34.419702970297031</v>
      </c>
      <c r="C25" s="19">
        <f xml:space="preserve"> C12*Index!$D$4</f>
        <v>50.528280354351232</v>
      </c>
      <c r="D25" s="19">
        <f xml:space="preserve"> D12*Index!$D$4</f>
        <v>31.617644606565925</v>
      </c>
      <c r="E25" s="19">
        <f xml:space="preserve"> E12*Index!$D$4</f>
        <v>27.62959874934862</v>
      </c>
      <c r="F25" s="19">
        <f xml:space="preserve"> F12*Index!$D$4</f>
        <v>29.336899426784786</v>
      </c>
      <c r="G25" s="19">
        <f xml:space="preserve"> G12*Index!$D$4</f>
        <v>18.206862949452841</v>
      </c>
      <c r="H25" s="19">
        <f xml:space="preserve"> H12*Index!$D$4</f>
        <v>27.316810838978636</v>
      </c>
      <c r="I25" s="19">
        <f xml:space="preserve"> I12*Index!$D$4</f>
        <v>44.572277227722779</v>
      </c>
      <c r="J25" s="19">
        <f xml:space="preserve"> J12*Index!$D$4</f>
        <v>36.544054194893171</v>
      </c>
      <c r="K25" s="19">
        <f xml:space="preserve"> K12*Index!$D$4</f>
        <v>25.661641479937469</v>
      </c>
      <c r="L25" s="19">
        <f xml:space="preserve"> L12*Index!$D$4</f>
        <v>45.432443981240233</v>
      </c>
      <c r="M25" s="19">
        <f xml:space="preserve"> M12*Index!$D$4</f>
        <v>46.409906201146434</v>
      </c>
      <c r="N25" s="19">
        <f xml:space="preserve"> N12*Index!$D$4</f>
        <v>21.230479416362687</v>
      </c>
      <c r="O25" s="19">
        <f xml:space="preserve"> O12*Index!$D$4</f>
        <v>32.386581552892132</v>
      </c>
      <c r="P25" s="19">
        <f xml:space="preserve"> P12*Index!$D$4</f>
        <v>25.544346013548726</v>
      </c>
      <c r="Q25" s="19">
        <f xml:space="preserve"> Q12*Index!$D$4</f>
        <v>19.184325169359042</v>
      </c>
      <c r="R25" s="19">
        <f xml:space="preserve"> R12*Index!$D$4</f>
        <v>15.887019280875457</v>
      </c>
      <c r="S25" s="19">
        <f xml:space="preserve"> S12*Index!$D$4</f>
        <v>22.80745179781136</v>
      </c>
      <c r="T25" s="19">
        <f xml:space="preserve"> T12*Index!$D$4</f>
        <v>35.47536216779573</v>
      </c>
      <c r="U25" s="18">
        <v>2020</v>
      </c>
      <c r="V25" s="17" t="s">
        <v>84</v>
      </c>
      <c r="W25" s="18">
        <v>35620</v>
      </c>
    </row>
    <row r="26" spans="1:23" ht="25">
      <c r="A26" s="19">
        <f xml:space="preserve"> A13*Index!$D$3</f>
        <v>20.408903531892463</v>
      </c>
      <c r="B26" s="19">
        <f xml:space="preserve"> B13*Index!$D$3</f>
        <v>40.747090142329995</v>
      </c>
      <c r="C26" s="19">
        <f xml:space="preserve"> C13*Index!$D$3</f>
        <v>55.908798102266744</v>
      </c>
      <c r="D26" s="19">
        <f xml:space="preserve"> D13*Index!$D$3</f>
        <v>33.364243542435425</v>
      </c>
      <c r="E26" s="19">
        <f xml:space="preserve"> E13*Index!$D$3</f>
        <v>31.836758039008966</v>
      </c>
      <c r="F26" s="19">
        <f xml:space="preserve"> F13*Index!$D$3</f>
        <v>32.48735371639431</v>
      </c>
      <c r="G26" s="19">
        <f xml:space="preserve"> G13*Index!$D$3</f>
        <v>20.309899841855561</v>
      </c>
      <c r="H26" s="19">
        <f xml:space="preserve"> H13*Index!$D$3</f>
        <v>31.780184501845017</v>
      </c>
      <c r="I26" s="19">
        <f xml:space="preserve"> I13*Index!$D$3</f>
        <v>52.358808645229317</v>
      </c>
      <c r="J26" s="19">
        <f xml:space="preserve"> J13*Index!$D$3</f>
        <v>41.638123352662099</v>
      </c>
      <c r="K26" s="19">
        <f xml:space="preserve"> K13*Index!$D$3</f>
        <v>30.210268845545599</v>
      </c>
      <c r="L26" s="19">
        <f xml:space="preserve"> L13*Index!$D$3</f>
        <v>52.302235108065368</v>
      </c>
      <c r="M26" s="19">
        <f xml:space="preserve"> M13*Index!$D$3</f>
        <v>52.867970479704802</v>
      </c>
      <c r="N26" s="19">
        <f xml:space="preserve"> N13*Index!$D$3</f>
        <v>24.722635740643124</v>
      </c>
      <c r="O26" s="19">
        <f xml:space="preserve"> O13*Index!$D$3</f>
        <v>34.085556141275703</v>
      </c>
      <c r="P26" s="19">
        <f xml:space="preserve"> P13*Index!$D$3</f>
        <v>28.61206642066421</v>
      </c>
      <c r="Q26" s="19">
        <f xml:space="preserve"> Q13*Index!$D$3</f>
        <v>20.790774907749078</v>
      </c>
      <c r="R26" s="19">
        <f xml:space="preserve"> R13*Index!$D$3</f>
        <v>19.362293094359515</v>
      </c>
      <c r="S26" s="19">
        <f xml:space="preserve"> S13*Index!$D$3</f>
        <v>25.486378492356351</v>
      </c>
      <c r="T26" s="19">
        <f xml:space="preserve"> T13*Index!$D$3</f>
        <v>40.888523985239857</v>
      </c>
      <c r="U26" s="18">
        <v>2021</v>
      </c>
      <c r="V26" s="17" t="s">
        <v>84</v>
      </c>
      <c r="W26" s="18">
        <v>35620</v>
      </c>
    </row>
    <row r="27" spans="1:23" ht="25">
      <c r="A27" s="19">
        <f xml:space="preserve"> A14*Index!$D$2</f>
        <v>21.072474323062554</v>
      </c>
      <c r="B27" s="19">
        <f xml:space="preserve"> B14*Index!$D$2</f>
        <v>36.709383753501399</v>
      </c>
      <c r="C27" s="19">
        <f xml:space="preserve"> C14*Index!$D$2</f>
        <v>56.970387488328655</v>
      </c>
      <c r="D27" s="19">
        <f xml:space="preserve"> D14*Index!$D$2</f>
        <v>33.772633053221284</v>
      </c>
      <c r="E27" s="19">
        <f xml:space="preserve"> E14*Index!$D$2</f>
        <v>29.483431372549017</v>
      </c>
      <c r="F27" s="19">
        <f xml:space="preserve"> F14*Index!$D$2</f>
        <v>30.835882352941177</v>
      </c>
      <c r="G27" s="19">
        <f xml:space="preserve"> G14*Index!$D$2</f>
        <v>20.595896358543417</v>
      </c>
      <c r="H27" s="19">
        <f xml:space="preserve"> H14*Index!$D$2</f>
        <v>29.367507002801119</v>
      </c>
      <c r="I27" s="19">
        <f xml:space="preserve"> I14*Index!$D$2</f>
        <v>49.525466853408027</v>
      </c>
      <c r="J27" s="19">
        <f xml:space="preserve"> J14*Index!$D$2</f>
        <v>39.182436974789915</v>
      </c>
      <c r="K27" s="19">
        <f xml:space="preserve"> K14*Index!$D$2</f>
        <v>28.607558356676002</v>
      </c>
      <c r="L27" s="19">
        <f xml:space="preserve"> L14*Index!$D$2</f>
        <v>48.649593837535015</v>
      </c>
      <c r="M27" s="19">
        <f xml:space="preserve"> M14*Index!$D$2</f>
        <v>49.860359477124177</v>
      </c>
      <c r="N27" s="19">
        <f xml:space="preserve"> N14*Index!$D$2</f>
        <v>22.86286181139122</v>
      </c>
      <c r="O27" s="19">
        <f xml:space="preserve"> O14*Index!$D$2</f>
        <v>34.120406162464981</v>
      </c>
      <c r="P27" s="19">
        <f xml:space="preserve"> P14*Index!$D$2</f>
        <v>27.808968253968249</v>
      </c>
      <c r="Q27" s="19">
        <f xml:space="preserve"> Q14*Index!$D$2</f>
        <v>21.536171802054152</v>
      </c>
      <c r="R27" s="19">
        <f xml:space="preserve"> R14*Index!$D$2</f>
        <v>18.431974789915966</v>
      </c>
      <c r="S27" s="19">
        <f xml:space="preserve"> S14*Index!$D$2</f>
        <v>24.318356676003731</v>
      </c>
      <c r="T27" s="19">
        <f xml:space="preserve"> T14*Index!$D$2</f>
        <v>37.817105508870213</v>
      </c>
      <c r="U27" s="18">
        <v>2022</v>
      </c>
      <c r="V27" s="17" t="s">
        <v>84</v>
      </c>
      <c r="W27" s="18">
        <v>35620</v>
      </c>
    </row>
    <row r="28" spans="1:2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</sheetData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E044-102F-449C-A1B7-09F2A471ED71}">
  <dimension ref="A1:W27"/>
  <sheetViews>
    <sheetView workbookViewId="0">
      <selection activeCell="I36" sqref="I36"/>
    </sheetView>
  </sheetViews>
  <sheetFormatPr defaultRowHeight="12.5"/>
  <cols>
    <col min="1" max="2" width="8.81640625" style="7" bestFit="1" customWidth="1"/>
    <col min="3" max="3" width="9.36328125" style="7" bestFit="1" customWidth="1"/>
    <col min="4" max="8" width="8.81640625" style="7" bestFit="1" customWidth="1"/>
    <col min="9" max="9" width="9.36328125" style="7" bestFit="1" customWidth="1"/>
    <col min="10" max="11" width="8.81640625" style="7" bestFit="1" customWidth="1"/>
    <col min="12" max="13" width="9.36328125" style="7" bestFit="1" customWidth="1"/>
    <col min="14" max="20" width="8.81640625" style="7" bestFit="1" customWidth="1"/>
    <col min="21" max="21" width="8.7265625" style="7"/>
    <col min="22" max="22" width="19.81640625" style="7" customWidth="1"/>
    <col min="23" max="23" width="11.7265625" style="7" customWidth="1"/>
    <col min="24" max="16384" width="8.7265625" style="7"/>
  </cols>
  <sheetData>
    <row r="1" spans="1:23" ht="13">
      <c r="A1" s="16" t="s">
        <v>17</v>
      </c>
      <c r="B1" s="16" t="s">
        <v>20</v>
      </c>
      <c r="C1" s="16" t="s">
        <v>22</v>
      </c>
      <c r="D1" s="16" t="s">
        <v>25</v>
      </c>
      <c r="E1" s="16" t="s">
        <v>27</v>
      </c>
      <c r="F1" s="16" t="s">
        <v>30</v>
      </c>
      <c r="G1" s="16" t="s">
        <v>32</v>
      </c>
      <c r="H1" s="16" t="s">
        <v>36</v>
      </c>
      <c r="I1" s="16" t="s">
        <v>39</v>
      </c>
      <c r="J1" s="16" t="s">
        <v>42</v>
      </c>
      <c r="K1" s="16" t="s">
        <v>44</v>
      </c>
      <c r="L1" s="16" t="s">
        <v>46</v>
      </c>
      <c r="M1" s="16" t="s">
        <v>48</v>
      </c>
      <c r="N1" s="16" t="s">
        <v>50</v>
      </c>
      <c r="O1" s="16" t="s">
        <v>52</v>
      </c>
      <c r="P1" s="16" t="s">
        <v>55</v>
      </c>
      <c r="Q1" s="16" t="s">
        <v>57</v>
      </c>
      <c r="R1" s="16" t="s">
        <v>59</v>
      </c>
      <c r="S1" s="16" t="s">
        <v>61</v>
      </c>
      <c r="T1" s="16" t="s">
        <v>63</v>
      </c>
      <c r="U1" s="16" t="s">
        <v>80</v>
      </c>
      <c r="V1" s="16" t="s">
        <v>114</v>
      </c>
      <c r="W1" s="16" t="s">
        <v>113</v>
      </c>
    </row>
    <row r="2" spans="1:23">
      <c r="A2" s="27">
        <f xml:space="preserve"> 'NAICS HOURLY INCOME'!A2*2080</f>
        <v>19510.400000000001</v>
      </c>
      <c r="B2" s="27">
        <f xml:space="preserve"> 'NAICS HOURLY INCOME'!B2*2080</f>
        <v>45198.400000000001</v>
      </c>
      <c r="C2" s="27">
        <f xml:space="preserve"> 'NAICS HOURLY INCOME'!C2*2080</f>
        <v>60777.599999999999</v>
      </c>
      <c r="D2" s="27">
        <f xml:space="preserve"> 'NAICS HOURLY INCOME'!D2*2080</f>
        <v>39832</v>
      </c>
      <c r="E2" s="27">
        <f xml:space="preserve"> 'NAICS HOURLY INCOME'!E2*2080</f>
        <v>36316.800000000003</v>
      </c>
      <c r="F2" s="27">
        <f xml:space="preserve"> 'NAICS HOURLY INCOME'!F2*2080</f>
        <v>38043.199999999997</v>
      </c>
      <c r="G2" s="27">
        <f xml:space="preserve"> 'NAICS HOURLY INCOME'!G2*2080</f>
        <v>22256</v>
      </c>
      <c r="H2" s="27">
        <f xml:space="preserve"> 'NAICS HOURLY INCOME'!H2*2080</f>
        <v>39124.799999999996</v>
      </c>
      <c r="I2" s="27">
        <f xml:space="preserve"> 'NAICS HOURLY INCOME'!I2*2080</f>
        <v>50273.600000000006</v>
      </c>
      <c r="J2" s="27">
        <f xml:space="preserve"> 'NAICS HOURLY INCOME'!J2*2080</f>
        <v>42952</v>
      </c>
      <c r="K2" s="27">
        <f xml:space="preserve"> 'NAICS HOURLY INCOME'!K2*2080</f>
        <v>31158.400000000001</v>
      </c>
      <c r="L2" s="27">
        <f xml:space="preserve"> 'NAICS HOURLY INCOME'!L2*2080</f>
        <v>56305.599999999999</v>
      </c>
      <c r="M2" s="27">
        <f xml:space="preserve"> 'NAICS HOURLY INCOME'!M2*2080</f>
        <v>55702.400000000001</v>
      </c>
      <c r="N2" s="27">
        <f xml:space="preserve"> 'NAICS HOURLY INCOME'!N2*2080</f>
        <v>26353.599999999999</v>
      </c>
      <c r="O2" s="27">
        <f xml:space="preserve"> 'NAICS HOURLY INCOME'!O2*2080</f>
        <v>43118.400000000001</v>
      </c>
      <c r="P2" s="27">
        <f xml:space="preserve"> 'NAICS HOURLY INCOME'!P2*2080</f>
        <v>33966.399999999994</v>
      </c>
      <c r="Q2" s="27">
        <f xml:space="preserve"> 'NAICS HOURLY INCOME'!Q2*2080</f>
        <v>23337.600000000002</v>
      </c>
      <c r="R2" s="27">
        <f xml:space="preserve"> 'NAICS HOURLY INCOME'!R2*2080</f>
        <v>18824</v>
      </c>
      <c r="S2" s="27">
        <f xml:space="preserve"> 'NAICS HOURLY INCOME'!S2*2080</f>
        <v>27539.200000000001</v>
      </c>
      <c r="T2" s="27">
        <f xml:space="preserve"> 'NAICS HOURLY INCOME'!T2*2080</f>
        <v>45697.599999999999</v>
      </c>
      <c r="U2" s="18">
        <v>2010</v>
      </c>
      <c r="V2" s="18" t="s">
        <v>112</v>
      </c>
      <c r="W2" s="18"/>
    </row>
    <row r="3" spans="1:23">
      <c r="A3" s="27">
        <f xml:space="preserve"> 'NAICS HOURLY INCOME'!A3*2080</f>
        <v>19468.8</v>
      </c>
      <c r="B3" s="27">
        <f xml:space="preserve"> 'NAICS HOURLY INCOME'!B3*2080</f>
        <v>46092.800000000003</v>
      </c>
      <c r="C3" s="27">
        <f xml:space="preserve"> 'NAICS HOURLY INCOME'!C3*2080</f>
        <v>62608</v>
      </c>
      <c r="D3" s="27">
        <f xml:space="preserve"> 'NAICS HOURLY INCOME'!D3*2080</f>
        <v>40684.799999999996</v>
      </c>
      <c r="E3" s="27">
        <f xml:space="preserve"> 'NAICS HOURLY INCOME'!E3*2080</f>
        <v>36982.400000000001</v>
      </c>
      <c r="F3" s="27">
        <f xml:space="preserve"> 'NAICS HOURLY INCOME'!F3*2080</f>
        <v>38708.799999999996</v>
      </c>
      <c r="G3" s="27">
        <f xml:space="preserve"> 'NAICS HOURLY INCOME'!G3*2080</f>
        <v>22630.400000000001</v>
      </c>
      <c r="H3" s="27">
        <f xml:space="preserve"> 'NAICS HOURLY INCOME'!H3*2080</f>
        <v>40164.799999999996</v>
      </c>
      <c r="I3" s="27">
        <f xml:space="preserve"> 'NAICS HOURLY INCOME'!I3*2080</f>
        <v>51854.400000000001</v>
      </c>
      <c r="J3" s="27">
        <f xml:space="preserve"> 'NAICS HOURLY INCOME'!J3*2080</f>
        <v>44408</v>
      </c>
      <c r="K3" s="27">
        <f xml:space="preserve"> 'NAICS HOURLY INCOME'!K3*2080</f>
        <v>31824</v>
      </c>
      <c r="L3" s="27">
        <f xml:space="preserve"> 'NAICS HOURLY INCOME'!L3*2080</f>
        <v>57969.599999999999</v>
      </c>
      <c r="M3" s="27">
        <f xml:space="preserve"> 'NAICS HOURLY INCOME'!M3*2080</f>
        <v>57907.199999999997</v>
      </c>
      <c r="N3" s="27">
        <f xml:space="preserve"> 'NAICS HOURLY INCOME'!N3*2080</f>
        <v>26624</v>
      </c>
      <c r="O3" s="27">
        <f xml:space="preserve"> 'NAICS HOURLY INCOME'!O3*2080</f>
        <v>43742.400000000001</v>
      </c>
      <c r="P3" s="27">
        <f xml:space="preserve"> 'NAICS HOURLY INCOME'!P3*2080</f>
        <v>34798.400000000001</v>
      </c>
      <c r="Q3" s="27">
        <f xml:space="preserve"> 'NAICS HOURLY INCOME'!Q3*2080</f>
        <v>23483.199999999997</v>
      </c>
      <c r="R3" s="27">
        <f xml:space="preserve"> 'NAICS HOURLY INCOME'!R3*2080</f>
        <v>19011.2</v>
      </c>
      <c r="S3" s="27">
        <f xml:space="preserve"> 'NAICS HOURLY INCOME'!S3*2080</f>
        <v>27830.400000000001</v>
      </c>
      <c r="T3" s="27">
        <f xml:space="preserve"> 'NAICS HOURLY INCOME'!T3*2080</f>
        <v>46529.599999999999</v>
      </c>
      <c r="U3" s="18">
        <v>2011</v>
      </c>
      <c r="V3" s="18" t="s">
        <v>112</v>
      </c>
      <c r="W3" s="18"/>
    </row>
    <row r="4" spans="1:23">
      <c r="A4" s="27">
        <f xml:space="preserve"> 'NAICS HOURLY INCOME'!A4*2080</f>
        <v>19552</v>
      </c>
      <c r="B4" s="27">
        <f xml:space="preserve"> 'NAICS HOURLY INCOME'!B4*2080</f>
        <v>47569.599999999999</v>
      </c>
      <c r="C4" s="27">
        <f xml:space="preserve"> 'NAICS HOURLY INCOME'!C4*2080</f>
        <v>63897.599999999999</v>
      </c>
      <c r="D4" s="27">
        <f xml:space="preserve"> 'NAICS HOURLY INCOME'!D4*2080</f>
        <v>41308.799999999996</v>
      </c>
      <c r="E4" s="27">
        <f xml:space="preserve"> 'NAICS HOURLY INCOME'!E4*2080</f>
        <v>37398.400000000001</v>
      </c>
      <c r="F4" s="27">
        <f xml:space="preserve"> 'NAICS HOURLY INCOME'!F4*2080</f>
        <v>39228.799999999996</v>
      </c>
      <c r="G4" s="27">
        <f xml:space="preserve"> 'NAICS HOURLY INCOME'!G4*2080</f>
        <v>22755.200000000001</v>
      </c>
      <c r="H4" s="27">
        <f xml:space="preserve"> 'NAICS HOURLY INCOME'!H4*2080</f>
        <v>40414.400000000001</v>
      </c>
      <c r="I4" s="27">
        <f xml:space="preserve"> 'NAICS HOURLY INCOME'!I4*2080</f>
        <v>53185.599999999999</v>
      </c>
      <c r="J4" s="27">
        <f xml:space="preserve"> 'NAICS HOURLY INCOME'!J4*2080</f>
        <v>45302.400000000001</v>
      </c>
      <c r="K4" s="27">
        <f xml:space="preserve"> 'NAICS HOURLY INCOME'!K4*2080</f>
        <v>32281.599999999999</v>
      </c>
      <c r="L4" s="27">
        <f xml:space="preserve"> 'NAICS HOURLY INCOME'!L4*2080</f>
        <v>59134.400000000001</v>
      </c>
      <c r="M4" s="27">
        <f xml:space="preserve"> 'NAICS HOURLY INCOME'!M4*2080</f>
        <v>59321.599999999999</v>
      </c>
      <c r="N4" s="27">
        <f xml:space="preserve"> 'NAICS HOURLY INCOME'!N4*2080</f>
        <v>26499.200000000001</v>
      </c>
      <c r="O4" s="27">
        <f xml:space="preserve"> 'NAICS HOURLY INCOME'!O4*2080</f>
        <v>43888</v>
      </c>
      <c r="P4" s="27">
        <f xml:space="preserve"> 'NAICS HOURLY INCOME'!P4*2080</f>
        <v>35235.200000000004</v>
      </c>
      <c r="Q4" s="27">
        <f xml:space="preserve"> 'NAICS HOURLY INCOME'!Q4*2080</f>
        <v>23691.200000000001</v>
      </c>
      <c r="R4" s="27">
        <f xml:space="preserve"> 'NAICS HOURLY INCOME'!R4*2080</f>
        <v>19094.399999999998</v>
      </c>
      <c r="S4" s="27">
        <f xml:space="preserve"> 'NAICS HOURLY INCOME'!S4*2080</f>
        <v>28163.199999999997</v>
      </c>
      <c r="T4" s="27">
        <f xml:space="preserve"> 'NAICS HOURLY INCOME'!T4*2080</f>
        <v>46966.399999999994</v>
      </c>
      <c r="U4" s="18">
        <v>2012</v>
      </c>
      <c r="V4" s="18" t="s">
        <v>112</v>
      </c>
      <c r="W4" s="18"/>
    </row>
    <row r="5" spans="1:23">
      <c r="A5" s="27">
        <f xml:space="preserve"> 'NAICS HOURLY INCOME'!A5*2080</f>
        <v>19614.399999999998</v>
      </c>
      <c r="B5" s="27">
        <f xml:space="preserve"> 'NAICS HOURLY INCOME'!B5*2080</f>
        <v>47985.599999999999</v>
      </c>
      <c r="C5" s="27">
        <f xml:space="preserve"> 'NAICS HOURLY INCOME'!C5*2080</f>
        <v>66040</v>
      </c>
      <c r="D5" s="27">
        <f xml:space="preserve"> 'NAICS HOURLY INCOME'!D5*2080</f>
        <v>41828.799999999996</v>
      </c>
      <c r="E5" s="27">
        <f xml:space="preserve"> 'NAICS HOURLY INCOME'!E5*2080</f>
        <v>37689.599999999999</v>
      </c>
      <c r="F5" s="27">
        <f xml:space="preserve"> 'NAICS HOURLY INCOME'!F5*2080</f>
        <v>39686.399999999994</v>
      </c>
      <c r="G5" s="27">
        <f xml:space="preserve"> 'NAICS HOURLY INCOME'!G5*2080</f>
        <v>22984</v>
      </c>
      <c r="H5" s="27">
        <f xml:space="preserve"> 'NAICS HOURLY INCOME'!H5*2080</f>
        <v>40123.199999999997</v>
      </c>
      <c r="I5" s="27">
        <f xml:space="preserve"> 'NAICS HOURLY INCOME'!I5*2080</f>
        <v>54329.599999999999</v>
      </c>
      <c r="J5" s="27">
        <f xml:space="preserve"> 'NAICS HOURLY INCOME'!J5*2080</f>
        <v>46384</v>
      </c>
      <c r="K5" s="27">
        <f xml:space="preserve"> 'NAICS HOURLY INCOME'!K5*2080</f>
        <v>32926.400000000001</v>
      </c>
      <c r="L5" s="27">
        <f xml:space="preserve"> 'NAICS HOURLY INCOME'!L5*2080</f>
        <v>60320</v>
      </c>
      <c r="M5" s="27">
        <f xml:space="preserve"> 'NAICS HOURLY INCOME'!M5*2080</f>
        <v>60486.399999999994</v>
      </c>
      <c r="N5" s="27">
        <f xml:space="preserve"> 'NAICS HOURLY INCOME'!N5*2080</f>
        <v>26956.800000000003</v>
      </c>
      <c r="O5" s="27">
        <f xml:space="preserve"> 'NAICS HOURLY INCOME'!O5*2080</f>
        <v>44137.599999999999</v>
      </c>
      <c r="P5" s="27">
        <f xml:space="preserve"> 'NAICS HOURLY INCOME'!P5*2080</f>
        <v>35692.800000000003</v>
      </c>
      <c r="Q5" s="27">
        <f xml:space="preserve"> 'NAICS HOURLY INCOME'!Q5*2080</f>
        <v>23899.200000000001</v>
      </c>
      <c r="R5" s="27">
        <f xml:space="preserve"> 'NAICS HOURLY INCOME'!R5*2080</f>
        <v>19177.600000000002</v>
      </c>
      <c r="S5" s="27">
        <f xml:space="preserve"> 'NAICS HOURLY INCOME'!S5*2080</f>
        <v>28475.200000000001</v>
      </c>
      <c r="T5" s="27">
        <f xml:space="preserve"> 'NAICS HOURLY INCOME'!T5*2080</f>
        <v>47569.599999999999</v>
      </c>
      <c r="U5" s="18">
        <v>2013</v>
      </c>
      <c r="V5" s="18" t="s">
        <v>112</v>
      </c>
      <c r="W5" s="18"/>
    </row>
    <row r="6" spans="1:23">
      <c r="A6" s="27">
        <f xml:space="preserve"> 'NAICS HOURLY INCOME'!A6*2080</f>
        <v>20176</v>
      </c>
      <c r="B6" s="27">
        <f xml:space="preserve"> 'NAICS HOURLY INCOME'!B6*2080</f>
        <v>49004.799999999996</v>
      </c>
      <c r="C6" s="27">
        <f xml:space="preserve"> 'NAICS HOURLY INCOME'!C6*2080</f>
        <v>68182.400000000009</v>
      </c>
      <c r="D6" s="27">
        <f xml:space="preserve"> 'NAICS HOURLY INCOME'!D6*2080</f>
        <v>42348.799999999996</v>
      </c>
      <c r="E6" s="27">
        <f xml:space="preserve"> 'NAICS HOURLY INCOME'!E6*2080</f>
        <v>38147.199999999997</v>
      </c>
      <c r="F6" s="27">
        <f xml:space="preserve"> 'NAICS HOURLY INCOME'!F6*2080</f>
        <v>40123.199999999997</v>
      </c>
      <c r="G6" s="27">
        <f xml:space="preserve"> 'NAICS HOURLY INCOME'!G6*2080</f>
        <v>23275.200000000001</v>
      </c>
      <c r="H6" s="27">
        <f xml:space="preserve"> 'NAICS HOURLY INCOME'!H6*2080</f>
        <v>40518.400000000001</v>
      </c>
      <c r="I6" s="27">
        <f xml:space="preserve"> 'NAICS HOURLY INCOME'!I6*2080</f>
        <v>55764.799999999996</v>
      </c>
      <c r="J6" s="27">
        <f xml:space="preserve"> 'NAICS HOURLY INCOME'!J6*2080</f>
        <v>47548.799999999996</v>
      </c>
      <c r="K6" s="27">
        <f xml:space="preserve"> 'NAICS HOURLY INCOME'!K6*2080</f>
        <v>33862.400000000001</v>
      </c>
      <c r="L6" s="27">
        <f xml:space="preserve"> 'NAICS HOURLY INCOME'!L6*2080</f>
        <v>61256</v>
      </c>
      <c r="M6" s="27">
        <f xml:space="preserve"> 'NAICS HOURLY INCOME'!M6*2080</f>
        <v>62212.800000000003</v>
      </c>
      <c r="N6" s="27">
        <f xml:space="preserve"> 'NAICS HOURLY INCOME'!N6*2080</f>
        <v>27352</v>
      </c>
      <c r="O6" s="27">
        <f xml:space="preserve"> 'NAICS HOURLY INCOME'!O6*2080</f>
        <v>44740.800000000003</v>
      </c>
      <c r="P6" s="27">
        <f xml:space="preserve"> 'NAICS HOURLY INCOME'!P6*2080</f>
        <v>36150.400000000001</v>
      </c>
      <c r="Q6" s="27">
        <f xml:space="preserve"> 'NAICS HOURLY INCOME'!Q6*2080</f>
        <v>24294.399999999998</v>
      </c>
      <c r="R6" s="27">
        <f xml:space="preserve"> 'NAICS HOURLY INCOME'!R6*2080</f>
        <v>19344</v>
      </c>
      <c r="S6" s="27">
        <f xml:space="preserve"> 'NAICS HOURLY INCOME'!S6*2080</f>
        <v>29099.200000000001</v>
      </c>
      <c r="T6" s="27">
        <f xml:space="preserve"> 'NAICS HOURLY INCOME'!T6*2080</f>
        <v>48859.199999999997</v>
      </c>
      <c r="U6" s="18">
        <v>2014</v>
      </c>
      <c r="V6" s="18" t="s">
        <v>112</v>
      </c>
      <c r="W6" s="18"/>
    </row>
    <row r="7" spans="1:23">
      <c r="A7" s="27">
        <f xml:space="preserve"> 'NAICS HOURLY INCOME'!A7*2080</f>
        <v>21881.599999999999</v>
      </c>
      <c r="B7" s="27">
        <f xml:space="preserve"> 'NAICS HOURLY INCOME'!B7*2080</f>
        <v>49566.399999999994</v>
      </c>
      <c r="C7" s="27">
        <f xml:space="preserve"> 'NAICS HOURLY INCOME'!C7*2080</f>
        <v>70012.799999999988</v>
      </c>
      <c r="D7" s="27">
        <f xml:space="preserve"> 'NAICS HOURLY INCOME'!D7*2080</f>
        <v>43347.199999999997</v>
      </c>
      <c r="E7" s="27">
        <f xml:space="preserve"> 'NAICS HOURLY INCOME'!E7*2080</f>
        <v>38708.799999999996</v>
      </c>
      <c r="F7" s="27">
        <f xml:space="preserve"> 'NAICS HOURLY INCOME'!F7*2080</f>
        <v>40976</v>
      </c>
      <c r="G7" s="27">
        <f xml:space="preserve"> 'NAICS HOURLY INCOME'!G7*2080</f>
        <v>23670.400000000001</v>
      </c>
      <c r="H7" s="27">
        <f xml:space="preserve"> 'NAICS HOURLY INCOME'!H7*2080</f>
        <v>40164.799999999996</v>
      </c>
      <c r="I7" s="27">
        <f xml:space="preserve"> 'NAICS HOURLY INCOME'!I7*2080</f>
        <v>57865.599999999999</v>
      </c>
      <c r="J7" s="27">
        <f xml:space="preserve"> 'NAICS HOURLY INCOME'!J7*2080</f>
        <v>49088</v>
      </c>
      <c r="K7" s="27">
        <f xml:space="preserve"> 'NAICS HOURLY INCOME'!K7*2080</f>
        <v>34819.199999999997</v>
      </c>
      <c r="L7" s="27">
        <f xml:space="preserve"> 'NAICS HOURLY INCOME'!L7*2080</f>
        <v>62649.599999999999</v>
      </c>
      <c r="M7" s="27">
        <f xml:space="preserve"> 'NAICS HOURLY INCOME'!M7*2080</f>
        <v>63627.199999999997</v>
      </c>
      <c r="N7" s="27">
        <f xml:space="preserve"> 'NAICS HOURLY INCOME'!N7*2080</f>
        <v>27934.399999999998</v>
      </c>
      <c r="O7" s="27">
        <f xml:space="preserve"> 'NAICS HOURLY INCOME'!O7*2080</f>
        <v>45531.200000000004</v>
      </c>
      <c r="P7" s="27">
        <f xml:space="preserve"> 'NAICS HOURLY INCOME'!P7*2080</f>
        <v>36857.599999999999</v>
      </c>
      <c r="Q7" s="27">
        <f xml:space="preserve"> 'NAICS HOURLY INCOME'!Q7*2080</f>
        <v>24939.200000000001</v>
      </c>
      <c r="R7" s="27">
        <f xml:space="preserve"> 'NAICS HOURLY INCOME'!R7*2080</f>
        <v>19739.2</v>
      </c>
      <c r="S7" s="27">
        <f xml:space="preserve"> 'NAICS HOURLY INCOME'!S7*2080</f>
        <v>29744</v>
      </c>
      <c r="T7" s="27">
        <f xml:space="preserve"> 'NAICS HOURLY INCOME'!T7*2080</f>
        <v>49566.399999999994</v>
      </c>
      <c r="U7" s="18">
        <v>2015</v>
      </c>
      <c r="V7" s="18" t="s">
        <v>112</v>
      </c>
      <c r="W7" s="18"/>
    </row>
    <row r="8" spans="1:23">
      <c r="A8" s="27">
        <f xml:space="preserve"> 'NAICS HOURLY INCOME'!A8*2080</f>
        <v>23628.799999999999</v>
      </c>
      <c r="B8" s="27">
        <f xml:space="preserve"> 'NAICS HOURLY INCOME'!B8*2080</f>
        <v>52270.400000000001</v>
      </c>
      <c r="C8" s="27">
        <f xml:space="preserve"> 'NAICS HOURLY INCOME'!C8*2080</f>
        <v>72300.800000000003</v>
      </c>
      <c r="D8" s="27">
        <f xml:space="preserve"> 'NAICS HOURLY INCOME'!D8*2080</f>
        <v>44636.800000000003</v>
      </c>
      <c r="E8" s="27">
        <f xml:space="preserve"> 'NAICS HOURLY INCOME'!E8*2080</f>
        <v>39520</v>
      </c>
      <c r="F8" s="27">
        <f xml:space="preserve"> 'NAICS HOURLY INCOME'!F8*2080</f>
        <v>42078.400000000001</v>
      </c>
      <c r="G8" s="27">
        <f xml:space="preserve"> 'NAICS HOURLY INCOME'!G8*2080</f>
        <v>24252.799999999999</v>
      </c>
      <c r="H8" s="27">
        <f xml:space="preserve"> 'NAICS HOURLY INCOME'!H8*2080</f>
        <v>40352</v>
      </c>
      <c r="I8" s="27">
        <f xml:space="preserve"> 'NAICS HOURLY INCOME'!I8*2080</f>
        <v>59384</v>
      </c>
      <c r="J8" s="27">
        <f xml:space="preserve"> 'NAICS HOURLY INCOME'!J8*2080</f>
        <v>50772.800000000003</v>
      </c>
      <c r="K8" s="27">
        <f xml:space="preserve"> 'NAICS HOURLY INCOME'!K8*2080</f>
        <v>35859.199999999997</v>
      </c>
      <c r="L8" s="27">
        <f xml:space="preserve"> 'NAICS HOURLY INCOME'!L8*2080</f>
        <v>64105.599999999999</v>
      </c>
      <c r="M8" s="27">
        <f xml:space="preserve"> 'NAICS HOURLY INCOME'!M8*2080</f>
        <v>65374.400000000001</v>
      </c>
      <c r="N8" s="27">
        <f xml:space="preserve"> 'NAICS HOURLY INCOME'!N8*2080</f>
        <v>28870.400000000001</v>
      </c>
      <c r="O8" s="27">
        <f xml:space="preserve"> 'NAICS HOURLY INCOME'!O8*2080</f>
        <v>46716.800000000003</v>
      </c>
      <c r="P8" s="27">
        <f xml:space="preserve"> 'NAICS HOURLY INCOME'!P8*2080</f>
        <v>37668.799999999996</v>
      </c>
      <c r="Q8" s="27">
        <f xml:space="preserve"> 'NAICS HOURLY INCOME'!Q8*2080</f>
        <v>25584</v>
      </c>
      <c r="R8" s="27">
        <f xml:space="preserve"> 'NAICS HOURLY INCOME'!R8*2080</f>
        <v>20820.8</v>
      </c>
      <c r="S8" s="27">
        <f xml:space="preserve"> 'NAICS HOURLY INCOME'!S8*2080</f>
        <v>30555.200000000001</v>
      </c>
      <c r="T8" s="27">
        <f xml:space="preserve"> 'NAICS HOURLY INCOME'!T8*2080</f>
        <v>50668.799999999996</v>
      </c>
      <c r="U8" s="18">
        <v>2016</v>
      </c>
      <c r="V8" s="18" t="s">
        <v>112</v>
      </c>
      <c r="W8" s="18"/>
    </row>
    <row r="9" spans="1:23">
      <c r="A9" s="27">
        <f xml:space="preserve"> 'NAICS HOURLY INCOME'!A9*2080</f>
        <v>24481.599999999999</v>
      </c>
      <c r="B9" s="27">
        <f xml:space="preserve"> 'NAICS HOURLY INCOME'!B9*2080</f>
        <v>51667.199999999997</v>
      </c>
      <c r="C9" s="27">
        <f xml:space="preserve"> 'NAICS HOURLY INCOME'!C9*2080</f>
        <v>73944</v>
      </c>
      <c r="D9" s="27">
        <f xml:space="preserve"> 'NAICS HOURLY INCOME'!D9*2080</f>
        <v>45822.400000000001</v>
      </c>
      <c r="E9" s="27">
        <f xml:space="preserve"> 'NAICS HOURLY INCOME'!E9*2080</f>
        <v>40268.799999999996</v>
      </c>
      <c r="F9" s="27">
        <f xml:space="preserve"> 'NAICS HOURLY INCOME'!F9*2080</f>
        <v>42910.400000000001</v>
      </c>
      <c r="G9" s="27">
        <f xml:space="preserve"> 'NAICS HOURLY INCOME'!G9*2080</f>
        <v>24876.800000000003</v>
      </c>
      <c r="H9" s="27">
        <f xml:space="preserve"> 'NAICS HOURLY INCOME'!H9*2080</f>
        <v>40955.200000000004</v>
      </c>
      <c r="I9" s="27">
        <f xml:space="preserve"> 'NAICS HOURLY INCOME'!I9*2080</f>
        <v>61380.800000000003</v>
      </c>
      <c r="J9" s="27">
        <f xml:space="preserve"> 'NAICS HOURLY INCOME'!J9*2080</f>
        <v>52208</v>
      </c>
      <c r="K9" s="27">
        <f xml:space="preserve"> 'NAICS HOURLY INCOME'!K9*2080</f>
        <v>36836.800000000003</v>
      </c>
      <c r="L9" s="27">
        <f xml:space="preserve"> 'NAICS HOURLY INCOME'!L9*2080</f>
        <v>65374.400000000001</v>
      </c>
      <c r="M9" s="27">
        <f xml:space="preserve"> 'NAICS HOURLY INCOME'!M9*2080</f>
        <v>66684.800000000003</v>
      </c>
      <c r="N9" s="27">
        <f xml:space="preserve"> 'NAICS HOURLY INCOME'!N9*2080</f>
        <v>29702.399999999998</v>
      </c>
      <c r="O9" s="27">
        <f xml:space="preserve"> 'NAICS HOURLY INCOME'!O9*2080</f>
        <v>47590.400000000001</v>
      </c>
      <c r="P9" s="27">
        <f xml:space="preserve"> 'NAICS HOURLY INCOME'!P9*2080</f>
        <v>37772.800000000003</v>
      </c>
      <c r="Q9" s="27">
        <f xml:space="preserve"> 'NAICS HOURLY INCOME'!Q9*2080</f>
        <v>26332.799999999999</v>
      </c>
      <c r="R9" s="27">
        <f xml:space="preserve"> 'NAICS HOURLY INCOME'!R9*2080</f>
        <v>21985.600000000002</v>
      </c>
      <c r="S9" s="27">
        <f xml:space="preserve"> 'NAICS HOURLY INCOME'!S9*2080</f>
        <v>31262.399999999998</v>
      </c>
      <c r="T9" s="27">
        <f xml:space="preserve"> 'NAICS HOURLY INCOME'!T9*2080</f>
        <v>51688</v>
      </c>
      <c r="U9" s="18">
        <v>2017</v>
      </c>
      <c r="V9" s="18" t="s">
        <v>112</v>
      </c>
      <c r="W9" s="18"/>
    </row>
    <row r="10" spans="1:23">
      <c r="A10" s="27">
        <f xml:space="preserve"> 'NAICS HOURLY INCOME'!A10*2080</f>
        <v>25500.799999999999</v>
      </c>
      <c r="B10" s="27">
        <f xml:space="preserve"> 'NAICS HOURLY INCOME'!B10*2080</f>
        <v>52083.199999999997</v>
      </c>
      <c r="C10" s="27">
        <f xml:space="preserve"> 'NAICS HOURLY INCOME'!C10*2080</f>
        <v>75899.199999999997</v>
      </c>
      <c r="D10" s="27">
        <f xml:space="preserve"> 'NAICS HOURLY INCOME'!D10*2080</f>
        <v>47278.400000000001</v>
      </c>
      <c r="E10" s="27">
        <f xml:space="preserve"> 'NAICS HOURLY INCOME'!E10*2080</f>
        <v>41350.400000000001</v>
      </c>
      <c r="F10" s="27">
        <f xml:space="preserve"> 'NAICS HOURLY INCOME'!F10*2080</f>
        <v>43825.599999999999</v>
      </c>
      <c r="G10" s="27">
        <f xml:space="preserve"> 'NAICS HOURLY INCOME'!G10*2080</f>
        <v>25792</v>
      </c>
      <c r="H10" s="27">
        <f xml:space="preserve"> 'NAICS HOURLY INCOME'!H10*2080</f>
        <v>41953.600000000006</v>
      </c>
      <c r="I10" s="27">
        <f xml:space="preserve"> 'NAICS HOURLY INCOME'!I10*2080</f>
        <v>63419.199999999997</v>
      </c>
      <c r="J10" s="27">
        <f xml:space="preserve"> 'NAICS HOURLY INCOME'!J10*2080</f>
        <v>53851.200000000004</v>
      </c>
      <c r="K10" s="27">
        <f xml:space="preserve"> 'NAICS HOURLY INCOME'!K10*2080</f>
        <v>38292.800000000003</v>
      </c>
      <c r="L10" s="27">
        <f xml:space="preserve"> 'NAICS HOURLY INCOME'!L10*2080</f>
        <v>67225.600000000006</v>
      </c>
      <c r="M10" s="27">
        <f xml:space="preserve"> 'NAICS HOURLY INCOME'!M10*2080</f>
        <v>69014.399999999994</v>
      </c>
      <c r="N10" s="27">
        <f xml:space="preserve"> 'NAICS HOURLY INCOME'!N10*2080</f>
        <v>30867.200000000001</v>
      </c>
      <c r="O10" s="27">
        <f xml:space="preserve"> 'NAICS HOURLY INCOME'!O10*2080</f>
        <v>48838.400000000001</v>
      </c>
      <c r="P10" s="27">
        <f xml:space="preserve"> 'NAICS HOURLY INCOME'!P10*2080</f>
        <v>38604.799999999996</v>
      </c>
      <c r="Q10" s="27">
        <f xml:space="preserve"> 'NAICS HOURLY INCOME'!Q10*2080</f>
        <v>27435.200000000001</v>
      </c>
      <c r="R10" s="27">
        <f xml:space="preserve"> 'NAICS HOURLY INCOME'!R10*2080</f>
        <v>23129.599999999999</v>
      </c>
      <c r="S10" s="27">
        <f xml:space="preserve"> 'NAICS HOURLY INCOME'!S10*2080</f>
        <v>32427.200000000001</v>
      </c>
      <c r="T10" s="27">
        <f xml:space="preserve"> 'NAICS HOURLY INCOME'!T10*2080</f>
        <v>53185.599999999999</v>
      </c>
      <c r="U10" s="18">
        <v>2018</v>
      </c>
      <c r="V10" s="18" t="s">
        <v>112</v>
      </c>
      <c r="W10" s="18"/>
    </row>
    <row r="11" spans="1:23">
      <c r="A11" s="27">
        <f xml:space="preserve"> 'NAICS HOURLY INCOME'!A11*2080</f>
        <v>27414.399999999998</v>
      </c>
      <c r="B11" s="27">
        <f xml:space="preserve"> 'NAICS HOURLY INCOME'!B11*2080</f>
        <v>52915.200000000004</v>
      </c>
      <c r="C11" s="27">
        <f xml:space="preserve"> 'NAICS HOURLY INCOME'!C11*2080</f>
        <v>78000</v>
      </c>
      <c r="D11" s="27">
        <f xml:space="preserve"> 'NAICS HOURLY INCOME'!D11*2080</f>
        <v>49025.599999999999</v>
      </c>
      <c r="E11" s="27">
        <f xml:space="preserve"> 'NAICS HOURLY INCOME'!E11*2080</f>
        <v>42556.800000000003</v>
      </c>
      <c r="F11" s="27">
        <f xml:space="preserve"> 'NAICS HOURLY INCOME'!F11*2080</f>
        <v>45177.599999999999</v>
      </c>
      <c r="G11" s="27">
        <f xml:space="preserve"> 'NAICS HOURLY INCOME'!G11*2080</f>
        <v>27372.799999999999</v>
      </c>
      <c r="H11" s="27">
        <f xml:space="preserve"> 'NAICS HOURLY INCOME'!H11*2080</f>
        <v>42806.399999999994</v>
      </c>
      <c r="I11" s="27">
        <f xml:space="preserve"> 'NAICS HOURLY INCOME'!I11*2080</f>
        <v>65852.800000000003</v>
      </c>
      <c r="J11" s="27">
        <f xml:space="preserve"> 'NAICS HOURLY INCOME'!J11*2080</f>
        <v>56180.800000000003</v>
      </c>
      <c r="K11" s="27">
        <f xml:space="preserve"> 'NAICS HOURLY INCOME'!K11*2080</f>
        <v>39561.599999999999</v>
      </c>
      <c r="L11" s="27">
        <f xml:space="preserve"> 'NAICS HOURLY INCOME'!L11*2080</f>
        <v>69680</v>
      </c>
      <c r="M11" s="27">
        <f xml:space="preserve"> 'NAICS HOURLY INCOME'!M11*2080</f>
        <v>71198.399999999994</v>
      </c>
      <c r="N11" s="27">
        <f xml:space="preserve"> 'NAICS HOURLY INCOME'!N11*2080</f>
        <v>32198.400000000001</v>
      </c>
      <c r="O11" s="27">
        <f xml:space="preserve"> 'NAICS HOURLY INCOME'!O11*2080</f>
        <v>50148.799999999996</v>
      </c>
      <c r="P11" s="27">
        <f xml:space="preserve"> 'NAICS HOURLY INCOME'!P11*2080</f>
        <v>39499.199999999997</v>
      </c>
      <c r="Q11" s="27">
        <f xml:space="preserve"> 'NAICS HOURLY INCOME'!Q11*2080</f>
        <v>28870.400000000001</v>
      </c>
      <c r="R11" s="27">
        <f xml:space="preserve"> 'NAICS HOURLY INCOME'!R11*2080</f>
        <v>24211.200000000001</v>
      </c>
      <c r="S11" s="27">
        <f xml:space="preserve"> 'NAICS HOURLY INCOME'!S11*2080</f>
        <v>33966.399999999994</v>
      </c>
      <c r="T11" s="27">
        <f xml:space="preserve"> 'NAICS HOURLY INCOME'!T11*2080</f>
        <v>54516.800000000003</v>
      </c>
      <c r="U11" s="18">
        <v>2019</v>
      </c>
      <c r="V11" s="18" t="s">
        <v>112</v>
      </c>
      <c r="W11" s="18"/>
    </row>
    <row r="12" spans="1:23">
      <c r="A12" s="27">
        <f xml:space="preserve"> 'NAICS HOURLY INCOME'!A12*2080</f>
        <v>30014.399999999998</v>
      </c>
      <c r="B12" s="27">
        <f xml:space="preserve"> 'NAICS HOURLY INCOME'!B12*2080</f>
        <v>54932.800000000003</v>
      </c>
      <c r="C12" s="27">
        <f xml:space="preserve"> 'NAICS HOURLY INCOME'!C12*2080</f>
        <v>80641.600000000006</v>
      </c>
      <c r="D12" s="27">
        <f xml:space="preserve"> 'NAICS HOURLY INCOME'!D12*2080</f>
        <v>50460.800000000003</v>
      </c>
      <c r="E12" s="27">
        <f xml:space="preserve"> 'NAICS HOURLY INCOME'!E12*2080</f>
        <v>44096</v>
      </c>
      <c r="F12" s="27">
        <f xml:space="preserve"> 'NAICS HOURLY INCOME'!F12*2080</f>
        <v>46820.800000000003</v>
      </c>
      <c r="G12" s="27">
        <f xml:space="preserve"> 'NAICS HOURLY INCOME'!G12*2080</f>
        <v>29057.600000000002</v>
      </c>
      <c r="H12" s="27">
        <f xml:space="preserve"> 'NAICS HOURLY INCOME'!H12*2080</f>
        <v>43596.800000000003</v>
      </c>
      <c r="I12" s="27">
        <f xml:space="preserve"> 'NAICS HOURLY INCOME'!I12*2080</f>
        <v>71136</v>
      </c>
      <c r="J12" s="27">
        <f xml:space="preserve"> 'NAICS HOURLY INCOME'!J12*2080</f>
        <v>58323.199999999997</v>
      </c>
      <c r="K12" s="27">
        <f xml:space="preserve"> 'NAICS HOURLY INCOME'!K12*2080</f>
        <v>40955.200000000004</v>
      </c>
      <c r="L12" s="27">
        <f xml:space="preserve"> 'NAICS HOURLY INCOME'!L12*2080</f>
        <v>72508.800000000003</v>
      </c>
      <c r="M12" s="27">
        <f xml:space="preserve"> 'NAICS HOURLY INCOME'!M12*2080</f>
        <v>74068.800000000003</v>
      </c>
      <c r="N12" s="27">
        <f xml:space="preserve"> 'NAICS HOURLY INCOME'!N12*2080</f>
        <v>33883.199999999997</v>
      </c>
      <c r="O12" s="27">
        <f xml:space="preserve"> 'NAICS HOURLY INCOME'!O12*2080</f>
        <v>51688</v>
      </c>
      <c r="P12" s="27">
        <f xml:space="preserve"> 'NAICS HOURLY INCOME'!P12*2080</f>
        <v>40768</v>
      </c>
      <c r="Q12" s="27">
        <f xml:space="preserve"> 'NAICS HOURLY INCOME'!Q12*2080</f>
        <v>30617.600000000002</v>
      </c>
      <c r="R12" s="27">
        <f xml:space="preserve"> 'NAICS HOURLY INCOME'!R12*2080</f>
        <v>25355.200000000001</v>
      </c>
      <c r="S12" s="27">
        <f xml:space="preserve"> 'NAICS HOURLY INCOME'!S12*2080</f>
        <v>36400</v>
      </c>
      <c r="T12" s="27">
        <f xml:space="preserve"> 'NAICS HOURLY INCOME'!T12*2080</f>
        <v>56617.599999999999</v>
      </c>
      <c r="U12" s="18">
        <v>2020</v>
      </c>
      <c r="V12" s="18" t="s">
        <v>112</v>
      </c>
      <c r="W12" s="18"/>
    </row>
    <row r="13" spans="1:23">
      <c r="A13" s="27">
        <f xml:space="preserve"> 'NAICS HOURLY INCOME'!A13*2080</f>
        <v>30014.399999999998</v>
      </c>
      <c r="B13" s="27">
        <f xml:space="preserve"> 'NAICS HOURLY INCOME'!B13*2080</f>
        <v>59924.799999999996</v>
      </c>
      <c r="C13" s="27">
        <f xml:space="preserve"> 'NAICS HOURLY INCOME'!C13*2080</f>
        <v>82222.400000000009</v>
      </c>
      <c r="D13" s="27">
        <f xml:space="preserve"> 'NAICS HOURLY INCOME'!D13*2080</f>
        <v>49067.199999999997</v>
      </c>
      <c r="E13" s="27">
        <f xml:space="preserve"> 'NAICS HOURLY INCOME'!E13*2080</f>
        <v>46820.800000000003</v>
      </c>
      <c r="F13" s="27">
        <f xml:space="preserve"> 'NAICS HOURLY INCOME'!F13*2080</f>
        <v>47777.599999999999</v>
      </c>
      <c r="G13" s="27">
        <f xml:space="preserve"> 'NAICS HOURLY INCOME'!G13*2080</f>
        <v>29868.799999999999</v>
      </c>
      <c r="H13" s="27">
        <f xml:space="preserve"> 'NAICS HOURLY INCOME'!H13*2080</f>
        <v>46737.599999999999</v>
      </c>
      <c r="I13" s="27">
        <f xml:space="preserve"> 'NAICS HOURLY INCOME'!I13*2080</f>
        <v>77001.600000000006</v>
      </c>
      <c r="J13" s="27">
        <f xml:space="preserve"> 'NAICS HOURLY INCOME'!J13*2080</f>
        <v>61235.200000000004</v>
      </c>
      <c r="K13" s="27">
        <f xml:space="preserve"> 'NAICS HOURLY INCOME'!K13*2080</f>
        <v>44428.799999999996</v>
      </c>
      <c r="L13" s="27">
        <f xml:space="preserve"> 'NAICS HOURLY INCOME'!L13*2080</f>
        <v>76918.399999999994</v>
      </c>
      <c r="M13" s="27">
        <f xml:space="preserve"> 'NAICS HOURLY INCOME'!M13*2080</f>
        <v>77750.400000000009</v>
      </c>
      <c r="N13" s="27">
        <f xml:space="preserve"> 'NAICS HOURLY INCOME'!N13*2080</f>
        <v>36358.400000000001</v>
      </c>
      <c r="O13" s="27">
        <f xml:space="preserve"> 'NAICS HOURLY INCOME'!O13*2080</f>
        <v>50128</v>
      </c>
      <c r="P13" s="27">
        <f xml:space="preserve"> 'NAICS HOURLY INCOME'!P13*2080</f>
        <v>42078.400000000001</v>
      </c>
      <c r="Q13" s="27">
        <f xml:space="preserve"> 'NAICS HOURLY INCOME'!Q13*2080</f>
        <v>30576</v>
      </c>
      <c r="R13" s="27">
        <f xml:space="preserve"> 'NAICS HOURLY INCOME'!R13*2080</f>
        <v>28475.200000000001</v>
      </c>
      <c r="S13" s="27">
        <f xml:space="preserve"> 'NAICS HOURLY INCOME'!S13*2080</f>
        <v>37481.599999999999</v>
      </c>
      <c r="T13" s="27">
        <f xml:space="preserve"> 'NAICS HOURLY INCOME'!T13*2080</f>
        <v>60132.800000000003</v>
      </c>
      <c r="U13" s="18">
        <v>2021</v>
      </c>
      <c r="V13" s="18" t="s">
        <v>112</v>
      </c>
      <c r="W13" s="18"/>
    </row>
    <row r="14" spans="1:23">
      <c r="A14" s="27">
        <f xml:space="preserve"> 'NAICS HOURLY INCOME'!A14*2080</f>
        <v>34028.799999999996</v>
      </c>
      <c r="B14" s="27">
        <f xml:space="preserve"> 'NAICS HOURLY INCOME'!B14*2080</f>
        <v>59280</v>
      </c>
      <c r="C14" s="27">
        <f xml:space="preserve"> 'NAICS HOURLY INCOME'!C14*2080</f>
        <v>91998.399999999994</v>
      </c>
      <c r="D14" s="27">
        <f xml:space="preserve"> 'NAICS HOURLY INCOME'!D14*2080</f>
        <v>54537.599999999999</v>
      </c>
      <c r="E14" s="27">
        <f xml:space="preserve"> 'NAICS HOURLY INCOME'!E14*2080</f>
        <v>47611.200000000004</v>
      </c>
      <c r="F14" s="27">
        <f xml:space="preserve"> 'NAICS HOURLY INCOME'!F14*2080</f>
        <v>49795.200000000004</v>
      </c>
      <c r="G14" s="27">
        <f xml:space="preserve"> 'NAICS HOURLY INCOME'!G14*2080</f>
        <v>33259.199999999997</v>
      </c>
      <c r="H14" s="27">
        <f xml:space="preserve"> 'NAICS HOURLY INCOME'!H14*2080</f>
        <v>47424</v>
      </c>
      <c r="I14" s="27">
        <f xml:space="preserve"> 'NAICS HOURLY INCOME'!I14*2080</f>
        <v>79976</v>
      </c>
      <c r="J14" s="27">
        <f xml:space="preserve"> 'NAICS HOURLY INCOME'!J14*2080</f>
        <v>63273.600000000006</v>
      </c>
      <c r="K14" s="27">
        <f xml:space="preserve"> 'NAICS HOURLY INCOME'!K14*2080</f>
        <v>46196.800000000003</v>
      </c>
      <c r="L14" s="27">
        <f xml:space="preserve"> 'NAICS HOURLY INCOME'!L14*2080</f>
        <v>78561.600000000006</v>
      </c>
      <c r="M14" s="27">
        <f xml:space="preserve"> 'NAICS HOURLY INCOME'!M14*2080</f>
        <v>80516.800000000003</v>
      </c>
      <c r="N14" s="27">
        <f xml:space="preserve"> 'NAICS HOURLY INCOME'!N14*2080</f>
        <v>36920</v>
      </c>
      <c r="O14" s="27">
        <f xml:space="preserve"> 'NAICS HOURLY INCOME'!O14*2080</f>
        <v>55099.199999999997</v>
      </c>
      <c r="P14" s="27">
        <f xml:space="preserve"> 'NAICS HOURLY INCOME'!P14*2080</f>
        <v>44907.199999999997</v>
      </c>
      <c r="Q14" s="27">
        <f xml:space="preserve"> 'NAICS HOURLY INCOME'!Q14*2080</f>
        <v>34777.599999999999</v>
      </c>
      <c r="R14" s="27">
        <f xml:space="preserve"> 'NAICS HOURLY INCOME'!R14*2080</f>
        <v>29764.799999999999</v>
      </c>
      <c r="S14" s="27">
        <f xml:space="preserve"> 'NAICS HOURLY INCOME'!S14*2080</f>
        <v>39270.400000000001</v>
      </c>
      <c r="T14" s="27">
        <f xml:space="preserve"> 'NAICS HOURLY INCOME'!T14*2080</f>
        <v>61068.799999999996</v>
      </c>
      <c r="U14" s="18">
        <v>2022</v>
      </c>
      <c r="V14" s="18" t="s">
        <v>112</v>
      </c>
      <c r="W14" s="18"/>
    </row>
    <row r="15" spans="1:23" ht="25">
      <c r="A15" s="27">
        <f xml:space="preserve"> 'NAICS HOURLY INCOME'!A15*2080</f>
        <v>25679.696442687749</v>
      </c>
      <c r="B15" s="27">
        <f xml:space="preserve"> 'NAICS HOURLY INCOME'!B15*2080</f>
        <v>59490.384189723314</v>
      </c>
      <c r="C15" s="27">
        <f xml:space="preserve"> 'NAICS HOURLY INCOME'!C15*2080</f>
        <v>79995.813438735175</v>
      </c>
      <c r="D15" s="27">
        <f xml:space="preserve"> 'NAICS HOURLY INCOME'!D15*2080</f>
        <v>52427.098814229241</v>
      </c>
      <c r="E15" s="27">
        <f xml:space="preserve"> 'NAICS HOURLY INCOME'!E15*2080</f>
        <v>47800.373122529643</v>
      </c>
      <c r="F15" s="27">
        <f xml:space="preserve"> 'NAICS HOURLY INCOME'!F15*2080</f>
        <v>50072.670355731221</v>
      </c>
      <c r="G15" s="27">
        <f xml:space="preserve"> 'NAICS HOURLY INCOME'!G15*2080</f>
        <v>29293.470355731224</v>
      </c>
      <c r="H15" s="27">
        <f xml:space="preserve"> 'NAICS HOURLY INCOME'!H15*2080</f>
        <v>51496.278260869563</v>
      </c>
      <c r="I15" s="27">
        <f xml:space="preserve"> 'NAICS HOURLY INCOME'!I15*2080</f>
        <v>66170.390513833991</v>
      </c>
      <c r="J15" s="27">
        <f xml:space="preserve"> 'NAICS HOURLY INCOME'!J15*2080</f>
        <v>56533.660079051377</v>
      </c>
      <c r="K15" s="27">
        <f xml:space="preserve"> 'NAICS HOURLY INCOME'!K15*2080</f>
        <v>41010.858498023721</v>
      </c>
      <c r="L15" s="27">
        <f xml:space="preserve"> 'NAICS HOURLY INCOME'!L15*2080</f>
        <v>74109.742292490118</v>
      </c>
      <c r="M15" s="27">
        <f xml:space="preserve"> 'NAICS HOURLY INCOME'!M15*2080</f>
        <v>73315.807114624506</v>
      </c>
      <c r="N15" s="27">
        <f xml:space="preserve"> 'NAICS HOURLY INCOME'!N15*2080</f>
        <v>34686.754150197623</v>
      </c>
      <c r="O15" s="27">
        <f xml:space="preserve"> 'NAICS HOURLY INCOME'!O15*2080</f>
        <v>56752.676679841898</v>
      </c>
      <c r="P15" s="27">
        <f xml:space="preserve"> 'NAICS HOURLY INCOME'!P15*2080</f>
        <v>44706.763636363634</v>
      </c>
      <c r="Q15" s="27">
        <f xml:space="preserve"> 'NAICS HOURLY INCOME'!Q15*2080</f>
        <v>30717.078260869566</v>
      </c>
      <c r="R15" s="27">
        <f xml:space="preserve"> 'NAICS HOURLY INCOME'!R15*2080</f>
        <v>24776.252964426876</v>
      </c>
      <c r="S15" s="27">
        <f xml:space="preserve"> 'NAICS HOURLY INCOME'!S15*2080</f>
        <v>36247.247430830037</v>
      </c>
      <c r="T15" s="27">
        <f xml:space="preserve"> 'NAICS HOURLY INCOME'!T15*2080</f>
        <v>60147.433992094855</v>
      </c>
      <c r="U15" s="18">
        <v>2010</v>
      </c>
      <c r="V15" s="17" t="s">
        <v>84</v>
      </c>
      <c r="W15" s="18">
        <v>35620</v>
      </c>
    </row>
    <row r="16" spans="1:23" ht="25">
      <c r="A16" s="27">
        <f xml:space="preserve"> 'NAICS HOURLY INCOME'!A16*2080</f>
        <v>25639.37697283311</v>
      </c>
      <c r="B16" s="27">
        <f xml:space="preserve"> 'NAICS HOURLY INCOME'!B16*2080</f>
        <v>60701.772833117713</v>
      </c>
      <c r="C16" s="27">
        <f xml:space="preserve"> 'NAICS HOURLY INCOME'!C16*2080</f>
        <v>82451.415265200514</v>
      </c>
      <c r="D16" s="27">
        <f xml:space="preserve"> 'NAICS HOURLY INCOME'!D16*2080</f>
        <v>53579.723673997403</v>
      </c>
      <c r="E16" s="27">
        <f xml:space="preserve"> 'NAICS HOURLY INCOME'!E16*2080</f>
        <v>48703.859249676578</v>
      </c>
      <c r="F16" s="27">
        <f xml:space="preserve"> 'NAICS HOURLY INCOME'!F16*2080</f>
        <v>50977.436481241901</v>
      </c>
      <c r="G16" s="27">
        <f xml:space="preserve"> 'NAICS HOURLY INCOME'!G16*2080</f>
        <v>29803.03648124191</v>
      </c>
      <c r="H16" s="27">
        <f xml:space="preserve"> 'NAICS HOURLY INCOME'!H16*2080</f>
        <v>52894.91125485122</v>
      </c>
      <c r="I16" s="27">
        <f xml:space="preserve"> 'NAICS HOURLY INCOME'!I16*2080</f>
        <v>68289.494437257425</v>
      </c>
      <c r="J16" s="27">
        <f xml:space="preserve"> 'NAICS HOURLY INCOME'!J16*2080</f>
        <v>58482.980595084089</v>
      </c>
      <c r="K16" s="27">
        <f xml:space="preserve"> 'NAICS HOURLY INCOME'!K16*2080</f>
        <v>41910.520051746433</v>
      </c>
      <c r="L16" s="27">
        <f xml:space="preserve"> 'NAICS HOURLY INCOME'!L16*2080</f>
        <v>76342.888486416559</v>
      </c>
      <c r="M16" s="27">
        <f xml:space="preserve"> 'NAICS HOURLY INCOME'!M16*2080</f>
        <v>76260.710996119</v>
      </c>
      <c r="N16" s="27">
        <f xml:space="preserve"> 'NAICS HOURLY INCOME'!N16*2080</f>
        <v>35062.395860284603</v>
      </c>
      <c r="O16" s="27">
        <f xml:space="preserve"> 'NAICS HOURLY INCOME'!O16*2080</f>
        <v>57606.420698576963</v>
      </c>
      <c r="P16" s="27">
        <f xml:space="preserve"> 'NAICS HOURLY INCOME'!P16*2080</f>
        <v>45827.647089262602</v>
      </c>
      <c r="Q16" s="27">
        <f xml:space="preserve"> 'NAICS HOURLY INCOME'!Q16*2080</f>
        <v>30926.128848641649</v>
      </c>
      <c r="R16" s="27">
        <f xml:space="preserve"> 'NAICS HOURLY INCOME'!R16*2080</f>
        <v>25036.742043984472</v>
      </c>
      <c r="S16" s="27">
        <f xml:space="preserve"> 'NAICS HOURLY INCOME'!S16*2080</f>
        <v>36651.160672703743</v>
      </c>
      <c r="T16" s="27">
        <f xml:space="preserve"> 'NAICS HOURLY INCOME'!T16*2080</f>
        <v>61277.015265200513</v>
      </c>
      <c r="U16" s="18">
        <v>2011</v>
      </c>
      <c r="V16" s="17" t="s">
        <v>84</v>
      </c>
      <c r="W16" s="18">
        <v>35620</v>
      </c>
    </row>
    <row r="17" spans="1:23" ht="25">
      <c r="A17" s="27">
        <f xml:space="preserve"> 'NAICS HOURLY INCOME'!A17*2080</f>
        <v>25640.122762148338</v>
      </c>
      <c r="B17" s="27">
        <f xml:space="preserve"> 'NAICS HOURLY INCOME'!B17*2080</f>
        <v>62381.873145780053</v>
      </c>
      <c r="C17" s="27">
        <f xml:space="preserve"> 'NAICS HOURLY INCOME'!C17*2080</f>
        <v>83794.10332480818</v>
      </c>
      <c r="D17" s="27">
        <f xml:space="preserve"> 'NAICS HOURLY INCOME'!D17*2080</f>
        <v>54171.578516624031</v>
      </c>
      <c r="E17" s="27">
        <f xml:space="preserve"> 'NAICS HOURLY INCOME'!E17*2080</f>
        <v>49043.553964194376</v>
      </c>
      <c r="F17" s="27">
        <f xml:space="preserve"> 'NAICS HOURLY INCOME'!F17*2080</f>
        <v>51443.905882352934</v>
      </c>
      <c r="G17" s="27">
        <f xml:space="preserve"> 'NAICS HOURLY INCOME'!G17*2080</f>
        <v>29840.738618925829</v>
      </c>
      <c r="H17" s="27">
        <f xml:space="preserve"> 'NAICS HOURLY INCOME'!H17*2080</f>
        <v>52998.679283887468</v>
      </c>
      <c r="I17" s="27">
        <f xml:space="preserve"> 'NAICS HOURLY INCOME'!I17*2080</f>
        <v>69746.589258312015</v>
      </c>
      <c r="J17" s="27">
        <f xml:space="preserve"> 'NAICS HOURLY INCOME'!J17*2080</f>
        <v>59408.70997442455</v>
      </c>
      <c r="K17" s="27">
        <f xml:space="preserve"> 'NAICS HOURLY INCOME'!K17*2080</f>
        <v>42333.479283887464</v>
      </c>
      <c r="L17" s="27">
        <f xml:space="preserve"> 'NAICS HOURLY INCOME'!L17*2080</f>
        <v>77547.73299232735</v>
      </c>
      <c r="M17" s="27">
        <f xml:space="preserve"> 'NAICS HOURLY INCOME'!M17*2080</f>
        <v>77793.223529411756</v>
      </c>
      <c r="N17" s="27">
        <f xml:space="preserve"> 'NAICS HOURLY INCOME'!N17*2080</f>
        <v>34750.549360613812</v>
      </c>
      <c r="O17" s="27">
        <f xml:space="preserve"> 'NAICS HOURLY INCOME'!O17*2080</f>
        <v>57553.8925831202</v>
      </c>
      <c r="P17" s="27">
        <f xml:space="preserve"> 'NAICS HOURLY INCOME'!P17*2080</f>
        <v>46206.77442455243</v>
      </c>
      <c r="Q17" s="27">
        <f xml:space="preserve"> 'NAICS HOURLY INCOME'!Q17*2080</f>
        <v>31068.191304347827</v>
      </c>
      <c r="R17" s="27">
        <f xml:space="preserve"> 'NAICS HOURLY INCOME'!R17*2080</f>
        <v>25040.034782608691</v>
      </c>
      <c r="S17" s="27">
        <f xml:space="preserve"> 'NAICS HOURLY INCOME'!S17*2080</f>
        <v>36932.687468030686</v>
      </c>
      <c r="T17" s="27">
        <f xml:space="preserve"> 'NAICS HOURLY INCOME'!T17*2080</f>
        <v>61590.848081841425</v>
      </c>
      <c r="U17" s="18">
        <v>2012</v>
      </c>
      <c r="V17" s="17" t="s">
        <v>84</v>
      </c>
      <c r="W17" s="18">
        <v>35620</v>
      </c>
    </row>
    <row r="18" spans="1:23" ht="25">
      <c r="A18" s="27">
        <f xml:space="preserve"> 'NAICS HOURLY INCOME'!A18*2080</f>
        <v>25756.28282828283</v>
      </c>
      <c r="B18" s="27">
        <f xml:space="preserve"> 'NAICS HOURLY INCOME'!B18*2080</f>
        <v>63011.393939393936</v>
      </c>
      <c r="C18" s="27">
        <f xml:space="preserve"> 'NAICS HOURLY INCOME'!C18*2080</f>
        <v>86719.191919191915</v>
      </c>
      <c r="D18" s="27">
        <f xml:space="preserve"> 'NAICS HOURLY INCOME'!D18*2080</f>
        <v>54926.707070707067</v>
      </c>
      <c r="E18" s="27">
        <f xml:space="preserve"> 'NAICS HOURLY INCOME'!E18*2080</f>
        <v>49491.393939393944</v>
      </c>
      <c r="F18" s="27">
        <f xml:space="preserve"> 'NAICS HOURLY INCOME'!F18*2080</f>
        <v>52113.454545454537</v>
      </c>
      <c r="G18" s="27">
        <f xml:space="preserve"> 'NAICS HOURLY INCOME'!G18*2080</f>
        <v>30181.010101010103</v>
      </c>
      <c r="H18" s="27">
        <f xml:space="preserve"> 'NAICS HOURLY INCOME'!H18*2080</f>
        <v>52687.030303030297</v>
      </c>
      <c r="I18" s="27">
        <f xml:space="preserve"> 'NAICS HOURLY INCOME'!I18*2080</f>
        <v>71341.898989898997</v>
      </c>
      <c r="J18" s="27">
        <f xml:space="preserve"> 'NAICS HOURLY INCOME'!J18*2080</f>
        <v>60908.282828282827</v>
      </c>
      <c r="K18" s="27">
        <f xml:space="preserve"> 'NAICS HOURLY INCOME'!K18*2080</f>
        <v>43236.686868686869</v>
      </c>
      <c r="L18" s="27">
        <f xml:space="preserve"> 'NAICS HOURLY INCOME'!L18*2080</f>
        <v>79208.08080808082</v>
      </c>
      <c r="M18" s="27">
        <f xml:space="preserve"> 'NAICS HOURLY INCOME'!M18*2080</f>
        <v>79426.585858585851</v>
      </c>
      <c r="N18" s="27">
        <f xml:space="preserve"> 'NAICS HOURLY INCOME'!N18*2080</f>
        <v>35397.818181818184</v>
      </c>
      <c r="O18" s="27">
        <f xml:space="preserve"> 'NAICS HOURLY INCOME'!O18*2080</f>
        <v>57958.464646464643</v>
      </c>
      <c r="P18" s="27">
        <f xml:space="preserve"> 'NAICS HOURLY INCOME'!P18*2080</f>
        <v>46869.333333333336</v>
      </c>
      <c r="Q18" s="27">
        <f xml:space="preserve"> 'NAICS HOURLY INCOME'!Q18*2080</f>
        <v>31382.78787878788</v>
      </c>
      <c r="R18" s="27">
        <f xml:space="preserve"> 'NAICS HOURLY INCOME'!R18*2080</f>
        <v>25182.707070707074</v>
      </c>
      <c r="S18" s="27">
        <f xml:space="preserve"> 'NAICS HOURLY INCOME'!S18*2080</f>
        <v>37391.676767676763</v>
      </c>
      <c r="T18" s="27">
        <f xml:space="preserve"> 'NAICS HOURLY INCOME'!T18*2080</f>
        <v>62465.131313131315</v>
      </c>
      <c r="U18" s="18">
        <v>2013</v>
      </c>
      <c r="V18" s="17" t="s">
        <v>84</v>
      </c>
      <c r="W18" s="18">
        <v>35620</v>
      </c>
    </row>
    <row r="19" spans="1:23" ht="25">
      <c r="A19" s="27">
        <f xml:space="preserve"> 'NAICS HOURLY INCOME'!A19*2080</f>
        <v>26336.70646766169</v>
      </c>
      <c r="B19" s="27">
        <f xml:space="preserve"> 'NAICS HOURLY INCOME'!B19*2080</f>
        <v>63968.330348258707</v>
      </c>
      <c r="C19" s="27">
        <f xml:space="preserve"> 'NAICS HOURLY INCOME'!C19*2080</f>
        <v>89001.777114427881</v>
      </c>
      <c r="D19" s="27">
        <f xml:space="preserve"> 'NAICS HOURLY INCOME'!D19*2080</f>
        <v>55279.932338308463</v>
      </c>
      <c r="E19" s="27">
        <f xml:space="preserve"> 'NAICS HOURLY INCOME'!E19*2080</f>
        <v>49795.381094527365</v>
      </c>
      <c r="F19" s="27">
        <f xml:space="preserve"> 'NAICS HOURLY INCOME'!F19*2080</f>
        <v>52374.749253731345</v>
      </c>
      <c r="G19" s="27">
        <f xml:space="preserve"> 'NAICS HOURLY INCOME'!G19*2080</f>
        <v>30382.241791044777</v>
      </c>
      <c r="H19" s="27">
        <f xml:space="preserve"> 'NAICS HOURLY INCOME'!H19*2080</f>
        <v>52890.622885572149</v>
      </c>
      <c r="I19" s="27">
        <f xml:space="preserve"> 'NAICS HOURLY INCOME'!I19*2080</f>
        <v>72792.484577114417</v>
      </c>
      <c r="J19" s="27">
        <f xml:space="preserve"> 'NAICS HOURLY INCOME'!J19*2080</f>
        <v>62067.743283582095</v>
      </c>
      <c r="K19" s="27">
        <f xml:space="preserve"> 'NAICS HOURLY INCOME'!K19*2080</f>
        <v>44202.224875621898</v>
      </c>
      <c r="L19" s="27">
        <f xml:space="preserve"> 'NAICS HOURLY INCOME'!L19*2080</f>
        <v>79960.412935323388</v>
      </c>
      <c r="M19" s="27">
        <f xml:space="preserve"> 'NAICS HOURLY INCOME'!M19*2080</f>
        <v>81209.370149253737</v>
      </c>
      <c r="N19" s="27">
        <f xml:space="preserve"> 'NAICS HOURLY INCOME'!N19*2080</f>
        <v>35703.885572139312</v>
      </c>
      <c r="O19" s="27">
        <f xml:space="preserve"> 'NAICS HOURLY INCOME'!O19*2080</f>
        <v>58402.325373134343</v>
      </c>
      <c r="P19" s="27">
        <f xml:space="preserve"> 'NAICS HOURLY INCOME'!P19*2080</f>
        <v>47188.86169154229</v>
      </c>
      <c r="Q19" s="27">
        <f xml:space="preserve"> 'NAICS HOURLY INCOME'!Q19*2080</f>
        <v>31712.65273631841</v>
      </c>
      <c r="R19" s="27">
        <f xml:space="preserve"> 'NAICS HOURLY INCOME'!R19*2080</f>
        <v>25250.656716417914</v>
      </c>
      <c r="S19" s="27">
        <f xml:space="preserve"> 'NAICS HOURLY INCOME'!S19*2080</f>
        <v>37984.590049751241</v>
      </c>
      <c r="T19" s="27">
        <f xml:space="preserve"> 'NAICS HOURLY INCOME'!T19*2080</f>
        <v>63778.271641791041</v>
      </c>
      <c r="U19" s="18">
        <v>2014</v>
      </c>
      <c r="V19" s="17" t="s">
        <v>84</v>
      </c>
      <c r="W19" s="18">
        <v>35620</v>
      </c>
    </row>
    <row r="20" spans="1:23" ht="25">
      <c r="A20" s="27">
        <f xml:space="preserve"> 'NAICS HOURLY INCOME'!A20*2080</f>
        <v>28251.517661388545</v>
      </c>
      <c r="B20" s="27">
        <f xml:space="preserve"> 'NAICS HOURLY INCOME'!B20*2080</f>
        <v>63995.595615103528</v>
      </c>
      <c r="C20" s="27">
        <f xml:space="preserve"> 'NAICS HOURLY INCOME'!C20*2080</f>
        <v>90394.114494518857</v>
      </c>
      <c r="D20" s="27">
        <f xml:space="preserve"> 'NAICS HOURLY INCOME'!D20*2080</f>
        <v>55965.934226552978</v>
      </c>
      <c r="E20" s="27">
        <f xml:space="preserve"> 'NAICS HOURLY INCOME'!E20*2080</f>
        <v>49977.257003654078</v>
      </c>
      <c r="F20" s="27">
        <f xml:space="preserve"> 'NAICS HOURLY INCOME'!F20*2080</f>
        <v>52904.457978075508</v>
      </c>
      <c r="G20" s="27">
        <f xml:space="preserve"> 'NAICS HOURLY INCOME'!G20*2080</f>
        <v>30561.052375152252</v>
      </c>
      <c r="H20" s="27">
        <f xml:space="preserve"> 'NAICS HOURLY INCOME'!H20*2080</f>
        <v>51857.110840438479</v>
      </c>
      <c r="I20" s="27">
        <f xml:space="preserve"> 'NAICS HOURLY INCOME'!I20*2080</f>
        <v>74710.762484774663</v>
      </c>
      <c r="J20" s="27">
        <f xml:space="preserve"> 'NAICS HOURLY INCOME'!J20*2080</f>
        <v>63377.929354445798</v>
      </c>
      <c r="K20" s="27">
        <f xml:space="preserve"> 'NAICS HOURLY INCOME'!K20*2080</f>
        <v>44955.361753958583</v>
      </c>
      <c r="L20" s="27">
        <f xml:space="preserve"> 'NAICS HOURLY INCOME'!L20*2080</f>
        <v>80887.425091351994</v>
      </c>
      <c r="M20" s="27">
        <f xml:space="preserve"> 'NAICS HOURLY INCOME'!M20*2080</f>
        <v>82149.612667478665</v>
      </c>
      <c r="N20" s="27">
        <f xml:space="preserve"> 'NAICS HOURLY INCOME'!N20*2080</f>
        <v>36066.33861144945</v>
      </c>
      <c r="O20" s="27">
        <f xml:space="preserve"> 'NAICS HOURLY INCOME'!O20*2080</f>
        <v>58785.714981729594</v>
      </c>
      <c r="P20" s="27">
        <f xml:space="preserve"> 'NAICS HOURLY INCOME'!P20*2080</f>
        <v>47587.157125456753</v>
      </c>
      <c r="Q20" s="27">
        <f xml:space="preserve"> 'NAICS HOURLY INCOME'!Q20*2080</f>
        <v>32199.210718635808</v>
      </c>
      <c r="R20" s="27">
        <f xml:space="preserve"> 'NAICS HOURLY INCOME'!R20*2080</f>
        <v>25485.44701583435</v>
      </c>
      <c r="S20" s="27">
        <f xml:space="preserve"> 'NAICS HOURLY INCOME'!S20*2080</f>
        <v>38402.72838002436</v>
      </c>
      <c r="T20" s="27">
        <f xml:space="preserve"> 'NAICS HOURLY INCOME'!T20*2080</f>
        <v>63995.595615103528</v>
      </c>
      <c r="U20" s="18">
        <v>2015</v>
      </c>
      <c r="V20" s="17" t="s">
        <v>84</v>
      </c>
      <c r="W20" s="18">
        <v>35620</v>
      </c>
    </row>
    <row r="21" spans="1:23" ht="25">
      <c r="A21" s="27">
        <f xml:space="preserve"> 'NAICS HOURLY INCOME'!A21*2080</f>
        <v>30504.163420427551</v>
      </c>
      <c r="B21" s="27">
        <f xml:space="preserve"> 'NAICS HOURLY INCOME'!B21*2080</f>
        <v>67479.720665083136</v>
      </c>
      <c r="C21" s="27">
        <f xml:space="preserve"> 'NAICS HOURLY INCOME'!C21*2080</f>
        <v>93338.443705463171</v>
      </c>
      <c r="D21" s="27">
        <f xml:space="preserve"> 'NAICS HOURLY INCOME'!D21*2080</f>
        <v>57624.942517814728</v>
      </c>
      <c r="E21" s="27">
        <f xml:space="preserve"> 'NAICS HOURLY INCOME'!E21*2080</f>
        <v>51019.287410926365</v>
      </c>
      <c r="F21" s="27">
        <f xml:space="preserve"> 'NAICS HOURLY INCOME'!F21*2080</f>
        <v>54322.114964370543</v>
      </c>
      <c r="G21" s="27">
        <f xml:space="preserve"> 'NAICS HOURLY INCOME'!G21*2080</f>
        <v>31309.73111638955</v>
      </c>
      <c r="H21" s="27">
        <f xml:space="preserve"> 'NAICS HOURLY INCOME'!H21*2080</f>
        <v>52093.377672209019</v>
      </c>
      <c r="I21" s="27">
        <f xml:space="preserve"> 'NAICS HOURLY INCOME'!I21*2080</f>
        <v>76663.192399049876</v>
      </c>
      <c r="J21" s="27">
        <f xml:space="preserve"> 'NAICS HOURLY INCOME'!J21*2080</f>
        <v>65546.358194774351</v>
      </c>
      <c r="K21" s="27">
        <f xml:space="preserve"> 'NAICS HOURLY INCOME'!K21*2080</f>
        <v>46293.290261282651</v>
      </c>
      <c r="L21" s="27">
        <f xml:space="preserve"> 'NAICS HOURLY INCOME'!L21*2080</f>
        <v>82758.654631828977</v>
      </c>
      <c r="M21" s="27">
        <f xml:space="preserve"> 'NAICS HOURLY INCOME'!M21*2080</f>
        <v>84396.642280285043</v>
      </c>
      <c r="N21" s="27">
        <f xml:space="preserve"> 'NAICS HOURLY INCOME'!N21*2080</f>
        <v>37270.932066508314</v>
      </c>
      <c r="O21" s="27">
        <f xml:space="preserve"> 'NAICS HOURLY INCOME'!O21*2080</f>
        <v>60310.168171021382</v>
      </c>
      <c r="P21" s="27">
        <f xml:space="preserve"> 'NAICS HOURLY INCOME'!P21*2080</f>
        <v>48629.436579572444</v>
      </c>
      <c r="Q21" s="27">
        <f xml:space="preserve"> 'NAICS HOURLY INCOME'!Q21*2080</f>
        <v>33028.275534441804</v>
      </c>
      <c r="R21" s="27">
        <f xml:space="preserve"> 'NAICS HOURLY INCOME'!R21*2080</f>
        <v>26879.108788598573</v>
      </c>
      <c r="S21" s="27">
        <f xml:space="preserve"> 'NAICS HOURLY INCOME'!S21*2080</f>
        <v>39445.964845605697</v>
      </c>
      <c r="T21" s="27">
        <f xml:space="preserve"> 'NAICS HOURLY INCOME'!T21*2080</f>
        <v>65412.096912114008</v>
      </c>
      <c r="U21" s="18">
        <v>2016</v>
      </c>
      <c r="V21" s="17" t="s">
        <v>84</v>
      </c>
      <c r="W21" s="18">
        <v>35620</v>
      </c>
    </row>
    <row r="22" spans="1:23" ht="25">
      <c r="A22" s="27">
        <f xml:space="preserve"> 'NAICS HOURLY INCOME'!A22*2080</f>
        <v>31468.195224228301</v>
      </c>
      <c r="B22" s="27">
        <f xml:space="preserve"> 'NAICS HOURLY INCOME'!B22*2080</f>
        <v>66412.061968549795</v>
      </c>
      <c r="C22" s="27">
        <f xml:space="preserve"> 'NAICS HOURLY INCOME'!C22*2080</f>
        <v>95046.248107163643</v>
      </c>
      <c r="D22" s="27">
        <f xml:space="preserve"> 'NAICS HOURLY INCOME'!D22*2080</f>
        <v>58899.264298194525</v>
      </c>
      <c r="E22" s="27">
        <f xml:space="preserve"> 'NAICS HOURLY INCOME'!E22*2080</f>
        <v>51760.769714618516</v>
      </c>
      <c r="F22" s="27">
        <f xml:space="preserve"> 'NAICS HOURLY INCOME'!F22*2080</f>
        <v>55156.233430401851</v>
      </c>
      <c r="G22" s="27">
        <f xml:space="preserve"> 'NAICS HOURLY INCOME'!G22*2080</f>
        <v>31976.17798485731</v>
      </c>
      <c r="H22" s="27">
        <f xml:space="preserve"> 'NAICS HOURLY INCOME'!H22*2080</f>
        <v>52643.055562026791</v>
      </c>
      <c r="I22" s="27">
        <f xml:space="preserve"> 'NAICS HOURLY INCOME'!I22*2080</f>
        <v>78897.743506115323</v>
      </c>
      <c r="J22" s="27">
        <f xml:space="preserve"> 'NAICS HOURLY INCOME'!J22*2080</f>
        <v>67107.196272568428</v>
      </c>
      <c r="K22" s="27">
        <f xml:space="preserve"> 'NAICS HOURLY INCOME'!K22*2080</f>
        <v>47349.340477577171</v>
      </c>
      <c r="L22" s="27">
        <f xml:space="preserve"> 'NAICS HOURLY INCOME'!L22*2080</f>
        <v>84031.042981945255</v>
      </c>
      <c r="M22" s="27">
        <f xml:space="preserve"> 'NAICS HOURLY INCOME'!M22*2080</f>
        <v>85715.40687245196</v>
      </c>
      <c r="N22" s="27">
        <f xml:space="preserve"> 'NAICS HOURLY INCOME'!N22*2080</f>
        <v>38178.914851485148</v>
      </c>
      <c r="O22" s="27">
        <f xml:space="preserve"> 'NAICS HOURLY INCOME'!O22*2080</f>
        <v>61171.818753640058</v>
      </c>
      <c r="P22" s="27">
        <f xml:space="preserve"> 'NAICS HOURLY INCOME'!P22*2080</f>
        <v>48552.457542224809</v>
      </c>
      <c r="Q22" s="27">
        <f xml:space="preserve"> 'NAICS HOURLY INCOME'!Q22*2080</f>
        <v>33847.693418753639</v>
      </c>
      <c r="R22" s="27">
        <f xml:space="preserve"> 'NAICS HOURLY INCOME'!R22*2080</f>
        <v>28259.883051834593</v>
      </c>
      <c r="S22" s="27">
        <f xml:space="preserve"> 'NAICS HOURLY INCOME'!S22*2080</f>
        <v>40184.109959231209</v>
      </c>
      <c r="T22" s="27">
        <f xml:space="preserve"> 'NAICS HOURLY INCOME'!T22*2080</f>
        <v>66438.797903319748</v>
      </c>
      <c r="U22" s="18">
        <v>2017</v>
      </c>
      <c r="V22" s="17" t="s">
        <v>84</v>
      </c>
      <c r="W22" s="18">
        <v>35620</v>
      </c>
    </row>
    <row r="23" spans="1:23" ht="25">
      <c r="A23" s="27">
        <f xml:space="preserve"> 'NAICS HOURLY INCOME'!A23*2080</f>
        <v>32673.350990379171</v>
      </c>
      <c r="B23" s="27">
        <f xml:space="preserve"> 'NAICS HOURLY INCOME'!B23*2080</f>
        <v>66732.521109224661</v>
      </c>
      <c r="C23" s="27">
        <f xml:space="preserve"> 'NAICS HOURLY INCOME'!C23*2080</f>
        <v>97247.19230333899</v>
      </c>
      <c r="D23" s="27">
        <f xml:space="preserve"> 'NAICS HOURLY INCOME'!D23*2080</f>
        <v>60576.28613469156</v>
      </c>
      <c r="E23" s="27">
        <f xml:space="preserve"> 'NAICS HOURLY INCOME'!E23*2080</f>
        <v>52980.931295981878</v>
      </c>
      <c r="F23" s="27">
        <f xml:space="preserve"> 'NAICS HOURLY INCOME'!F23*2080</f>
        <v>56152.325070741368</v>
      </c>
      <c r="G23" s="27">
        <f xml:space="preserve"> 'NAICS HOURLY INCOME'!G23*2080</f>
        <v>33046.456140350878</v>
      </c>
      <c r="H23" s="27">
        <f xml:space="preserve"> 'NAICS HOURLY INCOME'!H23*2080</f>
        <v>53753.791963780423</v>
      </c>
      <c r="I23" s="27">
        <f xml:space="preserve"> 'NAICS HOURLY INCOME'!I23*2080</f>
        <v>81256.971590265981</v>
      </c>
      <c r="J23" s="27">
        <f xml:space="preserve"> 'NAICS HOURLY INCOME'!J23*2080</f>
        <v>68997.802376910011</v>
      </c>
      <c r="K23" s="27">
        <f xml:space="preserve"> 'NAICS HOURLY INCOME'!K23*2080</f>
        <v>49063.327221278996</v>
      </c>
      <c r="L23" s="27">
        <f xml:space="preserve"> 'NAICS HOURLY INCOME'!L23*2080</f>
        <v>86133.988907753243</v>
      </c>
      <c r="M23" s="27">
        <f xml:space="preserve"> 'NAICS HOURLY INCOME'!M23*2080</f>
        <v>88425.920543293701</v>
      </c>
      <c r="N23" s="27">
        <f xml:space="preserve"> 'NAICS HOURLY INCOME'!N23*2080</f>
        <v>39549.145897000562</v>
      </c>
      <c r="O23" s="27">
        <f xml:space="preserve"> 'NAICS HOURLY INCOME'!O23*2080</f>
        <v>62575.06372382569</v>
      </c>
      <c r="P23" s="27">
        <f xml:space="preserve"> 'NAICS HOURLY INCOME'!P23*2080</f>
        <v>49463.082739105819</v>
      </c>
      <c r="Q23" s="27">
        <f xml:space="preserve"> 'NAICS HOURLY INCOME'!Q23*2080</f>
        <v>35151.835200905487</v>
      </c>
      <c r="R23" s="27">
        <f xml:space="preserve"> 'NAICS HOURLY INCOME'!R23*2080</f>
        <v>29635.209054895298</v>
      </c>
      <c r="S23" s="27">
        <f xml:space="preserve"> 'NAICS HOURLY INCOME'!S23*2080</f>
        <v>41547.923486134685</v>
      </c>
      <c r="T23" s="27">
        <f xml:space="preserve"> 'NAICS HOURLY INCOME'!T23*2080</f>
        <v>68144.990605546118</v>
      </c>
      <c r="U23" s="18">
        <v>2018</v>
      </c>
      <c r="V23" s="17" t="s">
        <v>84</v>
      </c>
      <c r="W23" s="18">
        <v>35620</v>
      </c>
    </row>
    <row r="24" spans="1:23" ht="25">
      <c r="A24" s="27">
        <f xml:space="preserve"> 'NAICS HOURLY INCOME'!A24*2080</f>
        <v>35270.691068493157</v>
      </c>
      <c r="B24" s="27">
        <f xml:space="preserve"> 'NAICS HOURLY INCOME'!B24*2080</f>
        <v>68079.391561643846</v>
      </c>
      <c r="C24" s="27">
        <f xml:space="preserve"> 'NAICS HOURLY INCOME'!C24*2080</f>
        <v>100352.87671232878</v>
      </c>
      <c r="D24" s="27">
        <f xml:space="preserve"> 'NAICS HOURLY INCOME'!D24*2080</f>
        <v>63075.128109589052</v>
      </c>
      <c r="E24" s="27">
        <f xml:space="preserve"> 'NAICS HOURLY INCOME'!E24*2080</f>
        <v>54752.529534246583</v>
      </c>
      <c r="F24" s="27">
        <f xml:space="preserve"> 'NAICS HOURLY INCOME'!F24*2080</f>
        <v>58124.386191780824</v>
      </c>
      <c r="G24" s="27">
        <f xml:space="preserve"> 'NAICS HOURLY INCOME'!G24*2080</f>
        <v>35217.169534246583</v>
      </c>
      <c r="H24" s="27">
        <f xml:space="preserve"> 'NAICS HOURLY INCOME'!H24*2080</f>
        <v>55073.65873972603</v>
      </c>
      <c r="I24" s="27">
        <f xml:space="preserve"> 'NAICS HOURLY INCOME'!I24*2080</f>
        <v>84724.588712328768</v>
      </c>
      <c r="J24" s="27">
        <f xml:space="preserve"> 'NAICS HOURLY INCOME'!J24*2080</f>
        <v>72280.832000000009</v>
      </c>
      <c r="K24" s="27">
        <f xml:space="preserve"> 'NAICS HOURLY INCOME'!K24*2080</f>
        <v>50898.979068493158</v>
      </c>
      <c r="L24" s="27">
        <f xml:space="preserve"> 'NAICS HOURLY INCOME'!L24*2080</f>
        <v>89648.569863013705</v>
      </c>
      <c r="M24" s="27">
        <f xml:space="preserve"> 'NAICS HOURLY INCOME'!M24*2080</f>
        <v>91602.105863013698</v>
      </c>
      <c r="N24" s="27">
        <f xml:space="preserve"> 'NAICS HOURLY INCOME'!N24*2080</f>
        <v>41425.66750684932</v>
      </c>
      <c r="O24" s="27">
        <f xml:space="preserve"> 'NAICS HOURLY INCOME'!O24*2080</f>
        <v>64520.209534246584</v>
      </c>
      <c r="P24" s="27">
        <f xml:space="preserve"> 'NAICS HOURLY INCOME'!P24*2080</f>
        <v>50818.696767123292</v>
      </c>
      <c r="Q24" s="27">
        <f xml:space="preserve"> 'NAICS HOURLY INCOME'!Q24*2080</f>
        <v>37143.944767123299</v>
      </c>
      <c r="R24" s="27">
        <f xml:space="preserve"> 'NAICS HOURLY INCOME'!R24*2080</f>
        <v>31149.532931506856</v>
      </c>
      <c r="S24" s="27">
        <f xml:space="preserve"> 'NAICS HOURLY INCOME'!S24*2080</f>
        <v>43700.332712328767</v>
      </c>
      <c r="T24" s="27">
        <f xml:space="preserve"> 'NAICS HOURLY INCOME'!T24*2080</f>
        <v>70139.970630137002</v>
      </c>
      <c r="U24" s="18">
        <v>2019</v>
      </c>
      <c r="V24" s="17" t="s">
        <v>84</v>
      </c>
      <c r="W24" s="18">
        <v>35620</v>
      </c>
    </row>
    <row r="25" spans="1:23" ht="25">
      <c r="A25" s="27">
        <f xml:space="preserve"> 'NAICS HOURLY INCOME'!A25*2080</f>
        <v>39117.256070870244</v>
      </c>
      <c r="B25" s="27">
        <f xml:space="preserve"> 'NAICS HOURLY INCOME'!B25*2080</f>
        <v>71592.982178217819</v>
      </c>
      <c r="C25" s="27">
        <f xml:space="preserve"> 'NAICS HOURLY INCOME'!C25*2080</f>
        <v>105098.82313705057</v>
      </c>
      <c r="D25" s="27">
        <f xml:space="preserve"> 'NAICS HOURLY INCOME'!D25*2080</f>
        <v>65764.700781657128</v>
      </c>
      <c r="E25" s="27">
        <f xml:space="preserve"> 'NAICS HOURLY INCOME'!E25*2080</f>
        <v>57469.565398645129</v>
      </c>
      <c r="F25" s="27">
        <f xml:space="preserve"> 'NAICS HOURLY INCOME'!F25*2080</f>
        <v>61020.750807712357</v>
      </c>
      <c r="G25" s="27">
        <f xml:space="preserve"> 'NAICS HOURLY INCOME'!G25*2080</f>
        <v>37870.274934861911</v>
      </c>
      <c r="H25" s="27">
        <f xml:space="preserve"> 'NAICS HOURLY INCOME'!H25*2080</f>
        <v>56818.966545075564</v>
      </c>
      <c r="I25" s="27">
        <f xml:space="preserve"> 'NAICS HOURLY INCOME'!I25*2080</f>
        <v>92710.336633663377</v>
      </c>
      <c r="J25" s="27">
        <f xml:space="preserve"> 'NAICS HOURLY INCOME'!J25*2080</f>
        <v>76011.6327253778</v>
      </c>
      <c r="K25" s="27">
        <f xml:space="preserve"> 'NAICS HOURLY INCOME'!K25*2080</f>
        <v>53376.214278269937</v>
      </c>
      <c r="L25" s="27">
        <f xml:space="preserve"> 'NAICS HOURLY INCOME'!L25*2080</f>
        <v>94499.483480979688</v>
      </c>
      <c r="M25" s="27">
        <f xml:space="preserve"> 'NAICS HOURLY INCOME'!M25*2080</f>
        <v>96532.604898384583</v>
      </c>
      <c r="N25" s="27">
        <f xml:space="preserve"> 'NAICS HOURLY INCOME'!N25*2080</f>
        <v>44159.397186034388</v>
      </c>
      <c r="O25" s="27">
        <f xml:space="preserve"> 'NAICS HOURLY INCOME'!O25*2080</f>
        <v>67364.089630015631</v>
      </c>
      <c r="P25" s="27">
        <f xml:space="preserve"> 'NAICS HOURLY INCOME'!P25*2080</f>
        <v>53132.239708181347</v>
      </c>
      <c r="Q25" s="27">
        <f xml:space="preserve"> 'NAICS HOURLY INCOME'!Q25*2080</f>
        <v>39903.396352266805</v>
      </c>
      <c r="R25" s="27">
        <f xml:space="preserve"> 'NAICS HOURLY INCOME'!R25*2080</f>
        <v>33045.000104220948</v>
      </c>
      <c r="S25" s="27">
        <f xml:space="preserve"> 'NAICS HOURLY INCOME'!S25*2080</f>
        <v>47439.49973944763</v>
      </c>
      <c r="T25" s="27">
        <f xml:space="preserve"> 'NAICS HOURLY INCOME'!T25*2080</f>
        <v>73788.753309015112</v>
      </c>
      <c r="U25" s="18">
        <v>2020</v>
      </c>
      <c r="V25" s="17" t="s">
        <v>84</v>
      </c>
      <c r="W25" s="18">
        <v>35620</v>
      </c>
    </row>
    <row r="26" spans="1:23" ht="25">
      <c r="A26" s="27">
        <f xml:space="preserve"> 'NAICS HOURLY INCOME'!A26*2080</f>
        <v>42450.519346336325</v>
      </c>
      <c r="B26" s="27">
        <f xml:space="preserve"> 'NAICS HOURLY INCOME'!B26*2080</f>
        <v>84753.947496046385</v>
      </c>
      <c r="C26" s="27">
        <f xml:space="preserve"> 'NAICS HOURLY INCOME'!C26*2080</f>
        <v>116290.30005271483</v>
      </c>
      <c r="D26" s="27">
        <f xml:space="preserve"> 'NAICS HOURLY INCOME'!D26*2080</f>
        <v>69397.626568265681</v>
      </c>
      <c r="E26" s="27">
        <f xml:space="preserve"> 'NAICS HOURLY INCOME'!E26*2080</f>
        <v>66220.456721138646</v>
      </c>
      <c r="F26" s="27">
        <f xml:space="preserve"> 'NAICS HOURLY INCOME'!F26*2080</f>
        <v>67573.695730100168</v>
      </c>
      <c r="G26" s="27">
        <f xml:space="preserve"> 'NAICS HOURLY INCOME'!G26*2080</f>
        <v>42244.59167105957</v>
      </c>
      <c r="H26" s="27">
        <f xml:space="preserve"> 'NAICS HOURLY INCOME'!H26*2080</f>
        <v>66102.783763837637</v>
      </c>
      <c r="I26" s="27">
        <f xml:space="preserve"> 'NAICS HOURLY INCOME'!I26*2080</f>
        <v>108906.32198207697</v>
      </c>
      <c r="J26" s="27">
        <f xml:space="preserve"> 'NAICS HOURLY INCOME'!J26*2080</f>
        <v>86607.296573537169</v>
      </c>
      <c r="K26" s="27">
        <f xml:space="preserve"> 'NAICS HOURLY INCOME'!K26*2080</f>
        <v>62837.359198734848</v>
      </c>
      <c r="L26" s="27">
        <f xml:space="preserve"> 'NAICS HOURLY INCOME'!L26*2080</f>
        <v>108788.64902477596</v>
      </c>
      <c r="M26" s="27">
        <f xml:space="preserve"> 'NAICS HOURLY INCOME'!M26*2080</f>
        <v>109965.37859778598</v>
      </c>
      <c r="N26" s="27">
        <f xml:space="preserve"> 'NAICS HOURLY INCOME'!N26*2080</f>
        <v>51423.082340537701</v>
      </c>
      <c r="O26" s="27">
        <f xml:space="preserve"> 'NAICS HOURLY INCOME'!O26*2080</f>
        <v>70897.956773853468</v>
      </c>
      <c r="P26" s="27">
        <f xml:space="preserve"> 'NAICS HOURLY INCOME'!P26*2080</f>
        <v>59513.098154981555</v>
      </c>
      <c r="Q26" s="27">
        <f xml:space="preserve"> 'NAICS HOURLY INCOME'!Q26*2080</f>
        <v>43244.81180811808</v>
      </c>
      <c r="R26" s="27">
        <f xml:space="preserve"> 'NAICS HOURLY INCOME'!R26*2080</f>
        <v>40273.569636267792</v>
      </c>
      <c r="S26" s="27">
        <f xml:space="preserve"> 'NAICS HOURLY INCOME'!S26*2080</f>
        <v>53011.667264101212</v>
      </c>
      <c r="T26" s="27">
        <f xml:space="preserve"> 'NAICS HOURLY INCOME'!T26*2080</f>
        <v>85048.1298892989</v>
      </c>
      <c r="U26" s="18">
        <v>2021</v>
      </c>
      <c r="V26" s="17" t="s">
        <v>84</v>
      </c>
      <c r="W26" s="18">
        <v>35620</v>
      </c>
    </row>
    <row r="27" spans="1:23" ht="25">
      <c r="A27" s="27">
        <f xml:space="preserve"> 'NAICS HOURLY INCOME'!A27*2080</f>
        <v>43830.746591970114</v>
      </c>
      <c r="B27" s="27">
        <f xml:space="preserve"> 'NAICS HOURLY INCOME'!B27*2080</f>
        <v>76355.518207282905</v>
      </c>
      <c r="C27" s="27">
        <f xml:space="preserve"> 'NAICS HOURLY INCOME'!C27*2080</f>
        <v>118498.4059757236</v>
      </c>
      <c r="D27" s="27">
        <f xml:space="preserve"> 'NAICS HOURLY INCOME'!D27*2080</f>
        <v>70247.076750700275</v>
      </c>
      <c r="E27" s="27">
        <f xml:space="preserve"> 'NAICS HOURLY INCOME'!E27*2080</f>
        <v>61325.537254901952</v>
      </c>
      <c r="F27" s="27">
        <f xml:space="preserve"> 'NAICS HOURLY INCOME'!F27*2080</f>
        <v>64138.635294117645</v>
      </c>
      <c r="G27" s="27">
        <f xml:space="preserve"> 'NAICS HOURLY INCOME'!G27*2080</f>
        <v>42839.464425770304</v>
      </c>
      <c r="H27" s="27">
        <f xml:space="preserve"> 'NAICS HOURLY INCOME'!H27*2080</f>
        <v>61084.41456582633</v>
      </c>
      <c r="I27" s="27">
        <f xml:space="preserve"> 'NAICS HOURLY INCOME'!I27*2080</f>
        <v>103012.9710550887</v>
      </c>
      <c r="J27" s="27">
        <f xml:space="preserve"> 'NAICS HOURLY INCOME'!J27*2080</f>
        <v>81499.46890756303</v>
      </c>
      <c r="K27" s="27">
        <f xml:space="preserve"> 'NAICS HOURLY INCOME'!K27*2080</f>
        <v>59503.721381886084</v>
      </c>
      <c r="L27" s="27">
        <f xml:space="preserve"> 'NAICS HOURLY INCOME'!L27*2080</f>
        <v>101191.15518207283</v>
      </c>
      <c r="M27" s="27">
        <f xml:space="preserve"> 'NAICS HOURLY INCOME'!M27*2080</f>
        <v>103709.54771241829</v>
      </c>
      <c r="N27" s="27">
        <f xml:space="preserve"> 'NAICS HOURLY INCOME'!N27*2080</f>
        <v>47554.752567693737</v>
      </c>
      <c r="O27" s="27">
        <f xml:space="preserve"> 'NAICS HOURLY INCOME'!O27*2080</f>
        <v>70970.444817927157</v>
      </c>
      <c r="P27" s="27">
        <f xml:space="preserve"> 'NAICS HOURLY INCOME'!P27*2080</f>
        <v>57842.653968253959</v>
      </c>
      <c r="Q27" s="27">
        <f xml:space="preserve"> 'NAICS HOURLY INCOME'!Q27*2080</f>
        <v>44795.23734827264</v>
      </c>
      <c r="R27" s="27">
        <f xml:space="preserve"> 'NAICS HOURLY INCOME'!R27*2080</f>
        <v>38338.50756302521</v>
      </c>
      <c r="S27" s="27">
        <f xml:space="preserve"> 'NAICS HOURLY INCOME'!S27*2080</f>
        <v>50582.181886087761</v>
      </c>
      <c r="T27" s="27">
        <f xml:space="preserve"> 'NAICS HOURLY INCOME'!T27*2080</f>
        <v>78659.57945845004</v>
      </c>
      <c r="U27" s="18">
        <v>2022</v>
      </c>
      <c r="V27" s="17" t="s">
        <v>84</v>
      </c>
      <c r="W27" s="18">
        <v>35620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A768-DC6E-459F-95D9-9058D0C36E7A}">
  <dimension ref="A1:D14"/>
  <sheetViews>
    <sheetView zoomScale="145" zoomScaleNormal="145" workbookViewId="0">
      <selection activeCell="G12" sqref="G12"/>
    </sheetView>
  </sheetViews>
  <sheetFormatPr defaultRowHeight="12.5"/>
  <cols>
    <col min="1" max="1" width="7.90625" style="6" customWidth="1"/>
    <col min="2" max="3" width="18.26953125" style="6" customWidth="1"/>
    <col min="4" max="4" width="9.26953125" style="6" customWidth="1"/>
    <col min="5" max="5" width="8.7265625" style="6"/>
    <col min="6" max="6" width="10.7265625" style="6" customWidth="1"/>
    <col min="7" max="7" width="23.7265625" style="6" customWidth="1"/>
    <col min="8" max="9" width="10.7265625" style="6" customWidth="1"/>
    <col min="10" max="16384" width="8.7265625" style="6"/>
  </cols>
  <sheetData>
    <row r="1" spans="1:4" ht="14">
      <c r="A1" s="8" t="s">
        <v>80</v>
      </c>
      <c r="B1" s="8" t="s">
        <v>83</v>
      </c>
      <c r="C1" s="8" t="s">
        <v>81</v>
      </c>
      <c r="D1" s="8" t="s">
        <v>82</v>
      </c>
    </row>
    <row r="2" spans="1:4" ht="14">
      <c r="A2" s="8">
        <v>2022</v>
      </c>
      <c r="B2" s="29">
        <v>27.59</v>
      </c>
      <c r="C2" s="10">
        <v>21.42</v>
      </c>
      <c r="D2" s="10">
        <f xml:space="preserve"> B2/C2</f>
        <v>1.288048552754435</v>
      </c>
    </row>
    <row r="3" spans="1:4" ht="14">
      <c r="A3" s="8">
        <v>2021</v>
      </c>
      <c r="B3" s="30">
        <v>26.83</v>
      </c>
      <c r="C3" s="10">
        <v>18.97</v>
      </c>
      <c r="D3" s="10">
        <f t="shared" ref="D3:D14" si="0" xml:space="preserve"> B3/C3</f>
        <v>1.4143384290985768</v>
      </c>
    </row>
    <row r="4" spans="1:4" ht="14">
      <c r="A4" s="8">
        <v>2020</v>
      </c>
      <c r="B4" s="30">
        <v>25.01</v>
      </c>
      <c r="C4" s="10">
        <v>19.190000000000001</v>
      </c>
      <c r="D4" s="10">
        <f t="shared" si="0"/>
        <v>1.3032829598749349</v>
      </c>
    </row>
    <row r="5" spans="1:4" ht="14">
      <c r="A5" s="8">
        <v>2019</v>
      </c>
      <c r="B5" s="30">
        <v>23.48</v>
      </c>
      <c r="C5" s="10">
        <v>18.25</v>
      </c>
      <c r="D5" s="10">
        <f t="shared" si="0"/>
        <v>1.2865753424657536</v>
      </c>
    </row>
    <row r="6" spans="1:4" ht="14">
      <c r="A6" s="8">
        <v>2018</v>
      </c>
      <c r="B6" s="30">
        <v>22.64</v>
      </c>
      <c r="C6" s="9">
        <v>17.670000000000002</v>
      </c>
      <c r="D6" s="10">
        <f t="shared" si="0"/>
        <v>1.2812676853423881</v>
      </c>
    </row>
    <row r="7" spans="1:4" ht="14">
      <c r="A7" s="8">
        <v>2017</v>
      </c>
      <c r="B7" s="29">
        <v>22.07</v>
      </c>
      <c r="C7" s="9">
        <v>17.170000000000002</v>
      </c>
      <c r="D7" s="10">
        <f t="shared" si="0"/>
        <v>1.2853814793244029</v>
      </c>
    </row>
    <row r="8" spans="1:4" ht="14">
      <c r="A8" s="8">
        <v>2016</v>
      </c>
      <c r="B8" s="29">
        <v>21.74</v>
      </c>
      <c r="C8" s="10">
        <v>16.84</v>
      </c>
      <c r="D8" s="10">
        <f t="shared" si="0"/>
        <v>1.2909738717339667</v>
      </c>
    </row>
    <row r="9" spans="1:4" ht="14">
      <c r="A9" s="8">
        <v>2015</v>
      </c>
      <c r="B9" s="29">
        <v>21.2</v>
      </c>
      <c r="C9" s="10">
        <v>16.420000000000002</v>
      </c>
      <c r="D9" s="10">
        <f t="shared" si="0"/>
        <v>1.2911084043848964</v>
      </c>
    </row>
    <row r="10" spans="1:4" ht="14">
      <c r="A10" s="8">
        <v>2014</v>
      </c>
      <c r="B10" s="29">
        <v>20.99</v>
      </c>
      <c r="C10" s="9">
        <v>16.079999999999998</v>
      </c>
      <c r="D10" s="10">
        <f t="shared" si="0"/>
        <v>1.3053482587064678</v>
      </c>
    </row>
    <row r="11" spans="1:4" ht="14">
      <c r="A11" s="8">
        <v>2013</v>
      </c>
      <c r="B11" s="29">
        <v>20.8</v>
      </c>
      <c r="C11" s="9">
        <v>15.84</v>
      </c>
      <c r="D11" s="10">
        <f t="shared" si="0"/>
        <v>1.3131313131313131</v>
      </c>
    </row>
    <row r="12" spans="1:4" ht="14">
      <c r="A12" s="8">
        <v>2012</v>
      </c>
      <c r="B12" s="29">
        <v>20.51</v>
      </c>
      <c r="C12" s="9">
        <v>15.64</v>
      </c>
      <c r="D12" s="10">
        <f t="shared" si="0"/>
        <v>1.3113810741687979</v>
      </c>
    </row>
    <row r="13" spans="1:4" ht="14">
      <c r="A13" s="8">
        <v>2011</v>
      </c>
      <c r="B13" s="29">
        <v>20.36</v>
      </c>
      <c r="C13" s="13">
        <v>15.46</v>
      </c>
      <c r="D13" s="10">
        <f t="shared" si="0"/>
        <v>1.3169469598965069</v>
      </c>
    </row>
    <row r="14" spans="1:4" ht="14">
      <c r="A14" s="8">
        <v>2010</v>
      </c>
      <c r="B14" s="29">
        <v>19.98</v>
      </c>
      <c r="C14" s="11">
        <v>15.18</v>
      </c>
      <c r="D14" s="10">
        <f t="shared" si="0"/>
        <v>1.3162055335968379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21"/>
  <sheetViews>
    <sheetView workbookViewId="0">
      <selection activeCell="H26" sqref="H26"/>
    </sheetView>
  </sheetViews>
  <sheetFormatPr defaultColWidth="12.6328125" defaultRowHeight="15.75" customHeight="1"/>
  <cols>
    <col min="1" max="1" width="10.7265625" customWidth="1"/>
    <col min="2" max="2" width="9.90625" customWidth="1"/>
    <col min="3" max="3" width="14.6328125" customWidth="1"/>
    <col min="4" max="4" width="12.453125" customWidth="1"/>
    <col min="5" max="30" width="19.1796875" customWidth="1"/>
  </cols>
  <sheetData>
    <row r="1" spans="1:39" ht="28">
      <c r="A1" s="3" t="s">
        <v>0</v>
      </c>
      <c r="B1" s="3" t="s">
        <v>1</v>
      </c>
      <c r="C1" s="3" t="s">
        <v>2</v>
      </c>
      <c r="D1" s="1" t="s">
        <v>3</v>
      </c>
      <c r="E1" s="12" t="s">
        <v>4</v>
      </c>
      <c r="F1" s="1" t="s">
        <v>67</v>
      </c>
      <c r="G1" s="1" t="s">
        <v>5</v>
      </c>
      <c r="H1" s="1" t="s">
        <v>68</v>
      </c>
      <c r="I1" s="1" t="s">
        <v>6</v>
      </c>
      <c r="J1" s="1" t="s">
        <v>69</v>
      </c>
      <c r="K1" s="1" t="s">
        <v>7</v>
      </c>
      <c r="L1" s="1" t="s">
        <v>70</v>
      </c>
      <c r="M1" s="1" t="s">
        <v>8</v>
      </c>
      <c r="N1" s="1" t="s">
        <v>71</v>
      </c>
      <c r="O1" s="1" t="s">
        <v>9</v>
      </c>
      <c r="P1" s="1" t="s">
        <v>72</v>
      </c>
      <c r="Q1" s="1" t="s">
        <v>10</v>
      </c>
      <c r="R1" s="1" t="s">
        <v>73</v>
      </c>
      <c r="S1" s="1" t="s">
        <v>11</v>
      </c>
      <c r="T1" s="1" t="s">
        <v>74</v>
      </c>
      <c r="U1" s="1" t="s">
        <v>12</v>
      </c>
      <c r="V1" s="1" t="s">
        <v>75</v>
      </c>
      <c r="W1" s="1" t="s">
        <v>13</v>
      </c>
      <c r="X1" s="1" t="s">
        <v>76</v>
      </c>
      <c r="Y1" s="1" t="s">
        <v>14</v>
      </c>
      <c r="Z1" s="1" t="s">
        <v>77</v>
      </c>
      <c r="AA1" s="1" t="s">
        <v>15</v>
      </c>
      <c r="AB1" s="1" t="s">
        <v>78</v>
      </c>
      <c r="AC1" s="1" t="s">
        <v>16</v>
      </c>
      <c r="AD1" s="1" t="s">
        <v>79</v>
      </c>
      <c r="AE1" s="1"/>
      <c r="AF1" s="1"/>
      <c r="AG1" s="1"/>
      <c r="AH1" s="1"/>
      <c r="AI1" s="1"/>
      <c r="AJ1" s="1"/>
      <c r="AK1" s="1"/>
      <c r="AL1" s="1"/>
      <c r="AM1" s="1"/>
    </row>
    <row r="2" spans="1:39" ht="15.75" customHeight="1">
      <c r="A2" s="4" t="s">
        <v>17</v>
      </c>
      <c r="B2" s="5">
        <v>11</v>
      </c>
      <c r="C2" s="5" t="s">
        <v>18</v>
      </c>
      <c r="D2" s="2" t="s">
        <v>19</v>
      </c>
      <c r="E2" s="25">
        <v>9.3800000000000008</v>
      </c>
      <c r="F2" s="25">
        <f xml:space="preserve"> E2*2080</f>
        <v>19510.400000000001</v>
      </c>
      <c r="G2" s="25">
        <v>9.36</v>
      </c>
      <c r="H2" s="25">
        <f xml:space="preserve"> G2*2080</f>
        <v>19468.8</v>
      </c>
      <c r="I2" s="25">
        <v>9.4</v>
      </c>
      <c r="J2" s="25">
        <f xml:space="preserve"> I2*2080</f>
        <v>19552</v>
      </c>
      <c r="K2" s="25">
        <v>9.43</v>
      </c>
      <c r="L2" s="25">
        <f xml:space="preserve"> K2*2080</f>
        <v>19614.399999999998</v>
      </c>
      <c r="M2" s="25">
        <v>9.6999999999999993</v>
      </c>
      <c r="N2" s="25">
        <f xml:space="preserve"> M2*2080</f>
        <v>20176</v>
      </c>
      <c r="O2" s="25">
        <v>10.52</v>
      </c>
      <c r="P2" s="25">
        <f xml:space="preserve"> O2*2080</f>
        <v>21881.599999999999</v>
      </c>
      <c r="Q2" s="25">
        <v>11.36</v>
      </c>
      <c r="R2" s="25">
        <f xml:space="preserve"> Q2*2080</f>
        <v>23628.799999999999</v>
      </c>
      <c r="S2" s="25">
        <v>11.77</v>
      </c>
      <c r="T2" s="25">
        <f xml:space="preserve"> S2*2080</f>
        <v>24481.599999999999</v>
      </c>
      <c r="U2" s="25">
        <v>12.26</v>
      </c>
      <c r="V2" s="25">
        <f xml:space="preserve"> U2*2080</f>
        <v>25500.799999999999</v>
      </c>
      <c r="W2" s="26">
        <v>13.18</v>
      </c>
      <c r="X2" s="26">
        <f xml:space="preserve"> W2*2080</f>
        <v>27414.399999999998</v>
      </c>
      <c r="Y2" s="25">
        <v>14.43</v>
      </c>
      <c r="Z2" s="25">
        <f xml:space="preserve"> Y2*2080</f>
        <v>30014.399999999998</v>
      </c>
      <c r="AA2" s="25">
        <v>14.43</v>
      </c>
      <c r="AB2" s="25">
        <f xml:space="preserve"> AA2*2080</f>
        <v>30014.399999999998</v>
      </c>
      <c r="AC2" s="25">
        <v>16.36</v>
      </c>
      <c r="AD2" s="24">
        <f xml:space="preserve"> AC2*2080</f>
        <v>34028.799999999996</v>
      </c>
    </row>
    <row r="3" spans="1:39" ht="15.75" customHeight="1">
      <c r="A3" s="4" t="s">
        <v>20</v>
      </c>
      <c r="B3" s="5">
        <v>21</v>
      </c>
      <c r="C3" s="5" t="s">
        <v>21</v>
      </c>
      <c r="D3" s="2" t="s">
        <v>19</v>
      </c>
      <c r="E3" s="25">
        <v>21.73</v>
      </c>
      <c r="F3" s="25">
        <f t="shared" ref="F3:F21" si="0" xml:space="preserve"> E3*2080</f>
        <v>45198.400000000001</v>
      </c>
      <c r="G3" s="25">
        <v>22.16</v>
      </c>
      <c r="H3" s="25">
        <f t="shared" ref="H3:H20" si="1" xml:space="preserve"> G3*2080</f>
        <v>46092.800000000003</v>
      </c>
      <c r="I3" s="25">
        <v>22.87</v>
      </c>
      <c r="J3" s="25">
        <f t="shared" ref="J3:J21" si="2" xml:space="preserve"> I3*2080</f>
        <v>47569.599999999999</v>
      </c>
      <c r="K3" s="25">
        <v>23.07</v>
      </c>
      <c r="L3" s="25">
        <f t="shared" ref="L3:L21" si="3" xml:space="preserve"> K3*2080</f>
        <v>47985.599999999999</v>
      </c>
      <c r="M3" s="25">
        <v>23.56</v>
      </c>
      <c r="N3" s="25">
        <f t="shared" ref="N3:N21" si="4" xml:space="preserve"> M3*2080</f>
        <v>49004.799999999996</v>
      </c>
      <c r="O3" s="25">
        <v>23.83</v>
      </c>
      <c r="P3" s="25">
        <f t="shared" ref="P3:P21" si="5" xml:space="preserve"> O3*2080</f>
        <v>49566.399999999994</v>
      </c>
      <c r="Q3" s="25">
        <v>25.13</v>
      </c>
      <c r="R3" s="25">
        <f t="shared" ref="R3:R21" si="6" xml:space="preserve"> Q3*2080</f>
        <v>52270.400000000001</v>
      </c>
      <c r="S3" s="25">
        <v>24.84</v>
      </c>
      <c r="T3" s="25">
        <f t="shared" ref="T3:T21" si="7" xml:space="preserve"> S3*2080</f>
        <v>51667.199999999997</v>
      </c>
      <c r="U3" s="25">
        <v>25.04</v>
      </c>
      <c r="V3" s="25">
        <f t="shared" ref="V3:V21" si="8" xml:space="preserve"> U3*2080</f>
        <v>52083.199999999997</v>
      </c>
      <c r="W3" s="26">
        <v>25.44</v>
      </c>
      <c r="X3" s="26">
        <f t="shared" ref="X3:X21" si="9" xml:space="preserve"> W3*2080</f>
        <v>52915.200000000004</v>
      </c>
      <c r="Y3" s="25">
        <v>26.41</v>
      </c>
      <c r="Z3" s="25">
        <f t="shared" ref="Z3:Z21" si="10" xml:space="preserve"> Y3*2080</f>
        <v>54932.800000000003</v>
      </c>
      <c r="AA3" s="25">
        <v>28.81</v>
      </c>
      <c r="AB3" s="25">
        <f t="shared" ref="AB3:AB21" si="11" xml:space="preserve"> AA3*2080</f>
        <v>59924.799999999996</v>
      </c>
      <c r="AC3" s="25">
        <v>28.5</v>
      </c>
      <c r="AD3" s="24">
        <f t="shared" ref="AD3:AD21" si="12" xml:space="preserve"> AC3*2080</f>
        <v>59280</v>
      </c>
    </row>
    <row r="4" spans="1:39" ht="15.75" customHeight="1">
      <c r="A4" s="4" t="s">
        <v>22</v>
      </c>
      <c r="B4" s="5">
        <v>22</v>
      </c>
      <c r="C4" s="5" t="s">
        <v>23</v>
      </c>
      <c r="D4" s="2" t="s">
        <v>24</v>
      </c>
      <c r="E4" s="25">
        <v>29.22</v>
      </c>
      <c r="F4" s="25">
        <f t="shared" si="0"/>
        <v>60777.599999999999</v>
      </c>
      <c r="G4" s="25">
        <v>30.1</v>
      </c>
      <c r="H4" s="25">
        <f t="shared" si="1"/>
        <v>62608</v>
      </c>
      <c r="I4" s="25">
        <v>30.72</v>
      </c>
      <c r="J4" s="25">
        <f t="shared" si="2"/>
        <v>63897.599999999999</v>
      </c>
      <c r="K4" s="25">
        <v>31.75</v>
      </c>
      <c r="L4" s="25">
        <f t="shared" si="3"/>
        <v>66040</v>
      </c>
      <c r="M4" s="25">
        <v>32.78</v>
      </c>
      <c r="N4" s="25">
        <f t="shared" si="4"/>
        <v>68182.400000000009</v>
      </c>
      <c r="O4" s="25">
        <v>33.659999999999997</v>
      </c>
      <c r="P4" s="25">
        <f t="shared" si="5"/>
        <v>70012.799999999988</v>
      </c>
      <c r="Q4" s="25">
        <v>34.76</v>
      </c>
      <c r="R4" s="25">
        <f t="shared" si="6"/>
        <v>72300.800000000003</v>
      </c>
      <c r="S4" s="25">
        <v>35.549999999999997</v>
      </c>
      <c r="T4" s="25">
        <f t="shared" si="7"/>
        <v>73944</v>
      </c>
      <c r="U4" s="25">
        <v>36.49</v>
      </c>
      <c r="V4" s="25">
        <f t="shared" si="8"/>
        <v>75899.199999999997</v>
      </c>
      <c r="W4" s="26">
        <v>37.5</v>
      </c>
      <c r="X4" s="26">
        <f t="shared" si="9"/>
        <v>78000</v>
      </c>
      <c r="Y4" s="25">
        <v>38.770000000000003</v>
      </c>
      <c r="Z4" s="25">
        <f t="shared" si="10"/>
        <v>80641.600000000006</v>
      </c>
      <c r="AA4" s="25">
        <v>39.53</v>
      </c>
      <c r="AB4" s="25">
        <f t="shared" si="11"/>
        <v>82222.400000000009</v>
      </c>
      <c r="AC4" s="25">
        <v>44.23</v>
      </c>
      <c r="AD4" s="24">
        <f t="shared" si="12"/>
        <v>91998.399999999994</v>
      </c>
    </row>
    <row r="5" spans="1:39" ht="15.75" customHeight="1">
      <c r="A5" s="4" t="s">
        <v>25</v>
      </c>
      <c r="B5" s="5">
        <v>23</v>
      </c>
      <c r="C5" s="5" t="s">
        <v>26</v>
      </c>
      <c r="D5" s="2" t="s">
        <v>24</v>
      </c>
      <c r="E5" s="25">
        <v>19.149999999999999</v>
      </c>
      <c r="F5" s="25">
        <f t="shared" si="0"/>
        <v>39832</v>
      </c>
      <c r="G5" s="25">
        <v>19.559999999999999</v>
      </c>
      <c r="H5" s="25">
        <f t="shared" si="1"/>
        <v>40684.799999999996</v>
      </c>
      <c r="I5" s="25">
        <v>19.86</v>
      </c>
      <c r="J5" s="25">
        <f t="shared" si="2"/>
        <v>41308.799999999996</v>
      </c>
      <c r="K5" s="25">
        <v>20.11</v>
      </c>
      <c r="L5" s="25">
        <f t="shared" si="3"/>
        <v>41828.799999999996</v>
      </c>
      <c r="M5" s="25">
        <v>20.36</v>
      </c>
      <c r="N5" s="25">
        <f t="shared" si="4"/>
        <v>42348.799999999996</v>
      </c>
      <c r="O5" s="25">
        <v>20.84</v>
      </c>
      <c r="P5" s="25">
        <f t="shared" si="5"/>
        <v>43347.199999999997</v>
      </c>
      <c r="Q5" s="25">
        <v>21.46</v>
      </c>
      <c r="R5" s="25">
        <f t="shared" si="6"/>
        <v>44636.800000000003</v>
      </c>
      <c r="S5" s="25">
        <v>22.03</v>
      </c>
      <c r="T5" s="25">
        <f t="shared" si="7"/>
        <v>45822.400000000001</v>
      </c>
      <c r="U5" s="25">
        <v>22.73</v>
      </c>
      <c r="V5" s="25">
        <f t="shared" si="8"/>
        <v>47278.400000000001</v>
      </c>
      <c r="W5" s="26">
        <v>23.57</v>
      </c>
      <c r="X5" s="26">
        <f t="shared" si="9"/>
        <v>49025.599999999999</v>
      </c>
      <c r="Y5" s="25">
        <v>24.26</v>
      </c>
      <c r="Z5" s="25">
        <f t="shared" si="10"/>
        <v>50460.800000000003</v>
      </c>
      <c r="AA5" s="25">
        <v>23.59</v>
      </c>
      <c r="AB5" s="25">
        <f t="shared" si="11"/>
        <v>49067.199999999997</v>
      </c>
      <c r="AC5" s="25">
        <v>26.22</v>
      </c>
      <c r="AD5" s="24">
        <f t="shared" si="12"/>
        <v>54537.599999999999</v>
      </c>
    </row>
    <row r="6" spans="1:39" ht="15.75" customHeight="1">
      <c r="A6" s="4" t="s">
        <v>27</v>
      </c>
      <c r="B6" s="5" t="s">
        <v>28</v>
      </c>
      <c r="C6" s="5" t="s">
        <v>29</v>
      </c>
      <c r="D6" s="2" t="s">
        <v>24</v>
      </c>
      <c r="E6" s="25">
        <v>17.46</v>
      </c>
      <c r="F6" s="25">
        <f t="shared" si="0"/>
        <v>36316.800000000003</v>
      </c>
      <c r="G6" s="25">
        <v>17.78</v>
      </c>
      <c r="H6" s="25">
        <f t="shared" si="1"/>
        <v>36982.400000000001</v>
      </c>
      <c r="I6" s="25">
        <v>17.98</v>
      </c>
      <c r="J6" s="25">
        <f t="shared" si="2"/>
        <v>37398.400000000001</v>
      </c>
      <c r="K6" s="25">
        <v>18.12</v>
      </c>
      <c r="L6" s="25">
        <f t="shared" si="3"/>
        <v>37689.599999999999</v>
      </c>
      <c r="M6" s="25">
        <v>18.34</v>
      </c>
      <c r="N6" s="25">
        <f t="shared" si="4"/>
        <v>38147.199999999997</v>
      </c>
      <c r="O6" s="25">
        <v>18.61</v>
      </c>
      <c r="P6" s="25">
        <f t="shared" si="5"/>
        <v>38708.799999999996</v>
      </c>
      <c r="Q6" s="25">
        <v>19</v>
      </c>
      <c r="R6" s="25">
        <f t="shared" si="6"/>
        <v>39520</v>
      </c>
      <c r="S6" s="25">
        <v>19.36</v>
      </c>
      <c r="T6" s="25">
        <f t="shared" si="7"/>
        <v>40268.799999999996</v>
      </c>
      <c r="U6" s="25">
        <v>19.88</v>
      </c>
      <c r="V6" s="25">
        <f t="shared" si="8"/>
        <v>41350.400000000001</v>
      </c>
      <c r="W6" s="26">
        <v>20.46</v>
      </c>
      <c r="X6" s="26">
        <f t="shared" si="9"/>
        <v>42556.800000000003</v>
      </c>
      <c r="Y6" s="25">
        <v>21.2</v>
      </c>
      <c r="Z6" s="25">
        <f t="shared" si="10"/>
        <v>44096</v>
      </c>
      <c r="AA6" s="25">
        <v>22.51</v>
      </c>
      <c r="AB6" s="25">
        <f t="shared" si="11"/>
        <v>46820.800000000003</v>
      </c>
      <c r="AC6" s="25">
        <v>22.89</v>
      </c>
      <c r="AD6" s="24">
        <f t="shared" si="12"/>
        <v>47611.200000000004</v>
      </c>
    </row>
    <row r="7" spans="1:39" ht="15.75" customHeight="1">
      <c r="A7" s="4" t="s">
        <v>30</v>
      </c>
      <c r="B7" s="5">
        <v>42</v>
      </c>
      <c r="C7" s="5" t="s">
        <v>31</v>
      </c>
      <c r="D7" s="2" t="s">
        <v>24</v>
      </c>
      <c r="E7" s="25">
        <v>18.29</v>
      </c>
      <c r="F7" s="25">
        <f t="shared" si="0"/>
        <v>38043.199999999997</v>
      </c>
      <c r="G7" s="25">
        <v>18.61</v>
      </c>
      <c r="H7" s="25">
        <f t="shared" si="1"/>
        <v>38708.799999999996</v>
      </c>
      <c r="I7" s="25">
        <v>18.86</v>
      </c>
      <c r="J7" s="25">
        <f t="shared" si="2"/>
        <v>39228.799999999996</v>
      </c>
      <c r="K7" s="25">
        <v>19.079999999999998</v>
      </c>
      <c r="L7" s="25">
        <f t="shared" si="3"/>
        <v>39686.399999999994</v>
      </c>
      <c r="M7" s="25">
        <v>19.29</v>
      </c>
      <c r="N7" s="25">
        <f t="shared" si="4"/>
        <v>40123.199999999997</v>
      </c>
      <c r="O7" s="25">
        <v>19.7</v>
      </c>
      <c r="P7" s="25">
        <f t="shared" si="5"/>
        <v>40976</v>
      </c>
      <c r="Q7" s="25">
        <v>20.23</v>
      </c>
      <c r="R7" s="25">
        <f t="shared" si="6"/>
        <v>42078.400000000001</v>
      </c>
      <c r="S7" s="25">
        <v>20.63</v>
      </c>
      <c r="T7" s="25">
        <f t="shared" si="7"/>
        <v>42910.400000000001</v>
      </c>
      <c r="U7" s="25">
        <v>21.07</v>
      </c>
      <c r="V7" s="25">
        <f t="shared" si="8"/>
        <v>43825.599999999999</v>
      </c>
      <c r="W7" s="26">
        <v>21.72</v>
      </c>
      <c r="X7" s="26">
        <f t="shared" si="9"/>
        <v>45177.599999999999</v>
      </c>
      <c r="Y7" s="25">
        <v>22.51</v>
      </c>
      <c r="Z7" s="25">
        <f t="shared" si="10"/>
        <v>46820.800000000003</v>
      </c>
      <c r="AA7" s="25">
        <v>22.97</v>
      </c>
      <c r="AB7" s="25">
        <f t="shared" si="11"/>
        <v>47777.599999999999</v>
      </c>
      <c r="AC7" s="25">
        <v>23.94</v>
      </c>
      <c r="AD7" s="24">
        <f t="shared" si="12"/>
        <v>49795.200000000004</v>
      </c>
    </row>
    <row r="8" spans="1:39" ht="15.75" customHeight="1">
      <c r="A8" s="4" t="s">
        <v>32</v>
      </c>
      <c r="B8" s="5" t="s">
        <v>33</v>
      </c>
      <c r="C8" s="5" t="s">
        <v>34</v>
      </c>
      <c r="D8" s="2" t="s">
        <v>35</v>
      </c>
      <c r="E8" s="25">
        <v>10.7</v>
      </c>
      <c r="F8" s="25">
        <f t="shared" si="0"/>
        <v>22256</v>
      </c>
      <c r="G8" s="25">
        <v>10.88</v>
      </c>
      <c r="H8" s="25">
        <f t="shared" si="1"/>
        <v>22630.400000000001</v>
      </c>
      <c r="I8" s="25">
        <v>10.94</v>
      </c>
      <c r="J8" s="25">
        <f t="shared" si="2"/>
        <v>22755.200000000001</v>
      </c>
      <c r="K8" s="25">
        <v>11.05</v>
      </c>
      <c r="L8" s="25">
        <f t="shared" si="3"/>
        <v>22984</v>
      </c>
      <c r="M8" s="25">
        <v>11.19</v>
      </c>
      <c r="N8" s="25">
        <f t="shared" si="4"/>
        <v>23275.200000000001</v>
      </c>
      <c r="O8" s="25">
        <v>11.38</v>
      </c>
      <c r="P8" s="25">
        <f t="shared" si="5"/>
        <v>23670.400000000001</v>
      </c>
      <c r="Q8" s="25">
        <v>11.66</v>
      </c>
      <c r="R8" s="25">
        <f t="shared" si="6"/>
        <v>24252.799999999999</v>
      </c>
      <c r="S8" s="25">
        <v>11.96</v>
      </c>
      <c r="T8" s="25">
        <f t="shared" si="7"/>
        <v>24876.800000000003</v>
      </c>
      <c r="U8" s="25">
        <v>12.4</v>
      </c>
      <c r="V8" s="25">
        <f t="shared" si="8"/>
        <v>25792</v>
      </c>
      <c r="W8" s="26">
        <v>13.16</v>
      </c>
      <c r="X8" s="26">
        <f t="shared" si="9"/>
        <v>27372.799999999999</v>
      </c>
      <c r="Y8" s="25">
        <v>13.97</v>
      </c>
      <c r="Z8" s="25">
        <f t="shared" si="10"/>
        <v>29057.600000000002</v>
      </c>
      <c r="AA8" s="25">
        <v>14.36</v>
      </c>
      <c r="AB8" s="25">
        <f t="shared" si="11"/>
        <v>29868.799999999999</v>
      </c>
      <c r="AC8" s="25">
        <v>15.99</v>
      </c>
      <c r="AD8" s="24">
        <f t="shared" si="12"/>
        <v>33259.199999999997</v>
      </c>
    </row>
    <row r="9" spans="1:39" ht="15.75" customHeight="1">
      <c r="A9" s="4" t="s">
        <v>36</v>
      </c>
      <c r="B9" s="5" t="s">
        <v>37</v>
      </c>
      <c r="C9" s="5" t="s">
        <v>38</v>
      </c>
      <c r="D9" s="2" t="s">
        <v>24</v>
      </c>
      <c r="E9" s="25">
        <v>18.809999999999999</v>
      </c>
      <c r="F9" s="25">
        <f t="shared" si="0"/>
        <v>39124.799999999996</v>
      </c>
      <c r="G9" s="25">
        <v>19.309999999999999</v>
      </c>
      <c r="H9" s="25">
        <f t="shared" si="1"/>
        <v>40164.799999999996</v>
      </c>
      <c r="I9" s="25">
        <v>19.43</v>
      </c>
      <c r="J9" s="25">
        <f t="shared" si="2"/>
        <v>40414.400000000001</v>
      </c>
      <c r="K9" s="25">
        <v>19.29</v>
      </c>
      <c r="L9" s="25">
        <f t="shared" si="3"/>
        <v>40123.199999999997</v>
      </c>
      <c r="M9" s="25">
        <v>19.48</v>
      </c>
      <c r="N9" s="25">
        <f t="shared" si="4"/>
        <v>40518.400000000001</v>
      </c>
      <c r="O9" s="25">
        <v>19.309999999999999</v>
      </c>
      <c r="P9" s="25">
        <f t="shared" si="5"/>
        <v>40164.799999999996</v>
      </c>
      <c r="Q9" s="25">
        <v>19.399999999999999</v>
      </c>
      <c r="R9" s="25">
        <f t="shared" si="6"/>
        <v>40352</v>
      </c>
      <c r="S9" s="25">
        <v>19.690000000000001</v>
      </c>
      <c r="T9" s="25">
        <f t="shared" si="7"/>
        <v>40955.200000000004</v>
      </c>
      <c r="U9" s="25">
        <v>20.170000000000002</v>
      </c>
      <c r="V9" s="25">
        <f t="shared" si="8"/>
        <v>41953.600000000006</v>
      </c>
      <c r="W9" s="26">
        <v>20.58</v>
      </c>
      <c r="X9" s="26">
        <f t="shared" si="9"/>
        <v>42806.399999999994</v>
      </c>
      <c r="Y9" s="25">
        <v>20.96</v>
      </c>
      <c r="Z9" s="25">
        <f t="shared" si="10"/>
        <v>43596.800000000003</v>
      </c>
      <c r="AA9" s="25">
        <v>22.47</v>
      </c>
      <c r="AB9" s="25">
        <f t="shared" si="11"/>
        <v>46737.599999999999</v>
      </c>
      <c r="AC9" s="25">
        <v>22.8</v>
      </c>
      <c r="AD9" s="24">
        <f t="shared" si="12"/>
        <v>47424</v>
      </c>
    </row>
    <row r="10" spans="1:39" ht="15.75" customHeight="1">
      <c r="A10" s="4" t="s">
        <v>39</v>
      </c>
      <c r="B10" s="5">
        <v>51</v>
      </c>
      <c r="C10" s="5" t="s">
        <v>40</v>
      </c>
      <c r="D10" s="2" t="s">
        <v>41</v>
      </c>
      <c r="E10" s="25">
        <v>24.17</v>
      </c>
      <c r="F10" s="25">
        <f t="shared" si="0"/>
        <v>50273.600000000006</v>
      </c>
      <c r="G10" s="25">
        <v>24.93</v>
      </c>
      <c r="H10" s="25">
        <f t="shared" si="1"/>
        <v>51854.400000000001</v>
      </c>
      <c r="I10" s="25">
        <v>25.57</v>
      </c>
      <c r="J10" s="25">
        <f t="shared" si="2"/>
        <v>53185.599999999999</v>
      </c>
      <c r="K10" s="25">
        <v>26.12</v>
      </c>
      <c r="L10" s="25">
        <f t="shared" si="3"/>
        <v>54329.599999999999</v>
      </c>
      <c r="M10" s="25">
        <v>26.81</v>
      </c>
      <c r="N10" s="25">
        <f t="shared" si="4"/>
        <v>55764.799999999996</v>
      </c>
      <c r="O10" s="25">
        <v>27.82</v>
      </c>
      <c r="P10" s="25">
        <f t="shared" si="5"/>
        <v>57865.599999999999</v>
      </c>
      <c r="Q10" s="25">
        <v>28.55</v>
      </c>
      <c r="R10" s="25">
        <f t="shared" si="6"/>
        <v>59384</v>
      </c>
      <c r="S10" s="25">
        <v>29.51</v>
      </c>
      <c r="T10" s="25">
        <f t="shared" si="7"/>
        <v>61380.800000000003</v>
      </c>
      <c r="U10" s="25">
        <v>30.49</v>
      </c>
      <c r="V10" s="25">
        <f t="shared" si="8"/>
        <v>63419.199999999997</v>
      </c>
      <c r="W10" s="26">
        <v>31.66</v>
      </c>
      <c r="X10" s="26">
        <f t="shared" si="9"/>
        <v>65852.800000000003</v>
      </c>
      <c r="Y10" s="25">
        <v>34.200000000000003</v>
      </c>
      <c r="Z10" s="25">
        <f t="shared" si="10"/>
        <v>71136</v>
      </c>
      <c r="AA10" s="25">
        <v>37.020000000000003</v>
      </c>
      <c r="AB10" s="25">
        <f t="shared" si="11"/>
        <v>77001.600000000006</v>
      </c>
      <c r="AC10" s="25">
        <v>38.450000000000003</v>
      </c>
      <c r="AD10" s="24">
        <f t="shared" si="12"/>
        <v>79976</v>
      </c>
    </row>
    <row r="11" spans="1:39" ht="15.75" customHeight="1">
      <c r="A11" s="4" t="s">
        <v>42</v>
      </c>
      <c r="B11" s="5">
        <v>52</v>
      </c>
      <c r="C11" s="5" t="s">
        <v>43</v>
      </c>
      <c r="D11" s="2" t="s">
        <v>41</v>
      </c>
      <c r="E11" s="25">
        <v>20.65</v>
      </c>
      <c r="F11" s="25">
        <f t="shared" si="0"/>
        <v>42952</v>
      </c>
      <c r="G11" s="25">
        <v>21.35</v>
      </c>
      <c r="H11" s="25">
        <f t="shared" si="1"/>
        <v>44408</v>
      </c>
      <c r="I11" s="25">
        <v>21.78</v>
      </c>
      <c r="J11" s="25">
        <f t="shared" si="2"/>
        <v>45302.400000000001</v>
      </c>
      <c r="K11" s="25">
        <v>22.3</v>
      </c>
      <c r="L11" s="25">
        <f t="shared" si="3"/>
        <v>46384</v>
      </c>
      <c r="M11" s="25">
        <v>22.86</v>
      </c>
      <c r="N11" s="25">
        <f t="shared" si="4"/>
        <v>47548.799999999996</v>
      </c>
      <c r="O11" s="25">
        <v>23.6</v>
      </c>
      <c r="P11" s="25">
        <f t="shared" si="5"/>
        <v>49088</v>
      </c>
      <c r="Q11" s="25">
        <v>24.41</v>
      </c>
      <c r="R11" s="25">
        <f t="shared" si="6"/>
        <v>50772.800000000003</v>
      </c>
      <c r="S11" s="25">
        <v>25.1</v>
      </c>
      <c r="T11" s="25">
        <f t="shared" si="7"/>
        <v>52208</v>
      </c>
      <c r="U11" s="25">
        <v>25.89</v>
      </c>
      <c r="V11" s="25">
        <f t="shared" si="8"/>
        <v>53851.200000000004</v>
      </c>
      <c r="W11" s="26">
        <v>27.01</v>
      </c>
      <c r="X11" s="26">
        <f t="shared" si="9"/>
        <v>56180.800000000003</v>
      </c>
      <c r="Y11" s="25">
        <v>28.04</v>
      </c>
      <c r="Z11" s="25">
        <f t="shared" si="10"/>
        <v>58323.199999999997</v>
      </c>
      <c r="AA11" s="25">
        <v>29.44</v>
      </c>
      <c r="AB11" s="25">
        <f t="shared" si="11"/>
        <v>61235.200000000004</v>
      </c>
      <c r="AC11" s="25">
        <v>30.42</v>
      </c>
      <c r="AD11" s="24">
        <f t="shared" si="12"/>
        <v>63273.600000000006</v>
      </c>
    </row>
    <row r="12" spans="1:39" ht="15.75" customHeight="1">
      <c r="A12" s="4" t="s">
        <v>44</v>
      </c>
      <c r="B12" s="5">
        <v>53</v>
      </c>
      <c r="C12" s="5" t="s">
        <v>45</v>
      </c>
      <c r="D12" s="2" t="s">
        <v>41</v>
      </c>
      <c r="E12" s="25">
        <v>14.98</v>
      </c>
      <c r="F12" s="25">
        <f t="shared" si="0"/>
        <v>31158.400000000001</v>
      </c>
      <c r="G12" s="25">
        <v>15.3</v>
      </c>
      <c r="H12" s="25">
        <f t="shared" si="1"/>
        <v>31824</v>
      </c>
      <c r="I12" s="25">
        <v>15.52</v>
      </c>
      <c r="J12" s="25">
        <f t="shared" si="2"/>
        <v>32281.599999999999</v>
      </c>
      <c r="K12" s="25">
        <v>15.83</v>
      </c>
      <c r="L12" s="25">
        <f t="shared" si="3"/>
        <v>32926.400000000001</v>
      </c>
      <c r="M12" s="25">
        <v>16.28</v>
      </c>
      <c r="N12" s="25">
        <f t="shared" si="4"/>
        <v>33862.400000000001</v>
      </c>
      <c r="O12" s="25">
        <v>16.739999999999998</v>
      </c>
      <c r="P12" s="25">
        <f t="shared" si="5"/>
        <v>34819.199999999997</v>
      </c>
      <c r="Q12" s="25">
        <v>17.239999999999998</v>
      </c>
      <c r="R12" s="25">
        <f t="shared" si="6"/>
        <v>35859.199999999997</v>
      </c>
      <c r="S12" s="25">
        <v>17.71</v>
      </c>
      <c r="T12" s="25">
        <f t="shared" si="7"/>
        <v>36836.800000000003</v>
      </c>
      <c r="U12" s="25">
        <v>18.41</v>
      </c>
      <c r="V12" s="25">
        <f t="shared" si="8"/>
        <v>38292.800000000003</v>
      </c>
      <c r="W12" s="26">
        <v>19.02</v>
      </c>
      <c r="X12" s="26">
        <f t="shared" si="9"/>
        <v>39561.599999999999</v>
      </c>
      <c r="Y12" s="25">
        <v>19.690000000000001</v>
      </c>
      <c r="Z12" s="25">
        <f t="shared" si="10"/>
        <v>40955.200000000004</v>
      </c>
      <c r="AA12" s="25">
        <v>21.36</v>
      </c>
      <c r="AB12" s="25">
        <f t="shared" si="11"/>
        <v>44428.799999999996</v>
      </c>
      <c r="AC12" s="25">
        <v>22.21</v>
      </c>
      <c r="AD12" s="24">
        <f t="shared" si="12"/>
        <v>46196.800000000003</v>
      </c>
    </row>
    <row r="13" spans="1:39" ht="15.75" customHeight="1">
      <c r="A13" s="4" t="s">
        <v>46</v>
      </c>
      <c r="B13" s="5">
        <v>54</v>
      </c>
      <c r="C13" s="5" t="s">
        <v>47</v>
      </c>
      <c r="D13" s="2" t="s">
        <v>41</v>
      </c>
      <c r="E13" s="25">
        <v>27.07</v>
      </c>
      <c r="F13" s="25">
        <f t="shared" si="0"/>
        <v>56305.599999999999</v>
      </c>
      <c r="G13" s="25">
        <v>27.87</v>
      </c>
      <c r="H13" s="25">
        <f t="shared" si="1"/>
        <v>57969.599999999999</v>
      </c>
      <c r="I13" s="25">
        <v>28.43</v>
      </c>
      <c r="J13" s="25">
        <f t="shared" si="2"/>
        <v>59134.400000000001</v>
      </c>
      <c r="K13" s="25">
        <v>29</v>
      </c>
      <c r="L13" s="25">
        <f t="shared" si="3"/>
        <v>60320</v>
      </c>
      <c r="M13" s="25">
        <v>29.45</v>
      </c>
      <c r="N13" s="25">
        <f t="shared" si="4"/>
        <v>61256</v>
      </c>
      <c r="O13" s="25">
        <v>30.12</v>
      </c>
      <c r="P13" s="25">
        <f t="shared" si="5"/>
        <v>62649.599999999999</v>
      </c>
      <c r="Q13" s="25">
        <v>30.82</v>
      </c>
      <c r="R13" s="25">
        <f t="shared" si="6"/>
        <v>64105.599999999999</v>
      </c>
      <c r="S13" s="25">
        <v>31.43</v>
      </c>
      <c r="T13" s="25">
        <f t="shared" si="7"/>
        <v>65374.400000000001</v>
      </c>
      <c r="U13" s="25">
        <v>32.32</v>
      </c>
      <c r="V13" s="25">
        <f t="shared" si="8"/>
        <v>67225.600000000006</v>
      </c>
      <c r="W13" s="26">
        <v>33.5</v>
      </c>
      <c r="X13" s="26">
        <f t="shared" si="9"/>
        <v>69680</v>
      </c>
      <c r="Y13" s="25">
        <v>34.86</v>
      </c>
      <c r="Z13" s="25">
        <f t="shared" si="10"/>
        <v>72508.800000000003</v>
      </c>
      <c r="AA13" s="25">
        <v>36.979999999999997</v>
      </c>
      <c r="AB13" s="25">
        <f t="shared" si="11"/>
        <v>76918.399999999994</v>
      </c>
      <c r="AC13" s="25">
        <v>37.770000000000003</v>
      </c>
      <c r="AD13" s="24">
        <f t="shared" si="12"/>
        <v>78561.600000000006</v>
      </c>
    </row>
    <row r="14" spans="1:39" ht="15.75" customHeight="1">
      <c r="A14" s="4" t="s">
        <v>48</v>
      </c>
      <c r="B14" s="5">
        <v>55</v>
      </c>
      <c r="C14" s="5" t="s">
        <v>49</v>
      </c>
      <c r="D14" s="2" t="s">
        <v>41</v>
      </c>
      <c r="E14" s="25">
        <v>26.78</v>
      </c>
      <c r="F14" s="25">
        <f t="shared" si="0"/>
        <v>55702.400000000001</v>
      </c>
      <c r="G14" s="25">
        <v>27.84</v>
      </c>
      <c r="H14" s="25">
        <f t="shared" si="1"/>
        <v>57907.199999999997</v>
      </c>
      <c r="I14" s="25">
        <v>28.52</v>
      </c>
      <c r="J14" s="25">
        <f t="shared" si="2"/>
        <v>59321.599999999999</v>
      </c>
      <c r="K14" s="25">
        <v>29.08</v>
      </c>
      <c r="L14" s="25">
        <f t="shared" si="3"/>
        <v>60486.399999999994</v>
      </c>
      <c r="M14" s="25">
        <v>29.91</v>
      </c>
      <c r="N14" s="25">
        <f t="shared" si="4"/>
        <v>62212.800000000003</v>
      </c>
      <c r="O14" s="25">
        <v>30.59</v>
      </c>
      <c r="P14" s="25">
        <f t="shared" si="5"/>
        <v>63627.199999999997</v>
      </c>
      <c r="Q14" s="25">
        <v>31.43</v>
      </c>
      <c r="R14" s="25">
        <f t="shared" si="6"/>
        <v>65374.400000000001</v>
      </c>
      <c r="S14" s="25">
        <v>32.06</v>
      </c>
      <c r="T14" s="25">
        <f t="shared" si="7"/>
        <v>66684.800000000003</v>
      </c>
      <c r="U14" s="25">
        <v>33.18</v>
      </c>
      <c r="V14" s="25">
        <f t="shared" si="8"/>
        <v>69014.399999999994</v>
      </c>
      <c r="W14" s="26">
        <v>34.229999999999997</v>
      </c>
      <c r="X14" s="26">
        <f t="shared" si="9"/>
        <v>71198.399999999994</v>
      </c>
      <c r="Y14" s="25">
        <v>35.61</v>
      </c>
      <c r="Z14" s="25">
        <f t="shared" si="10"/>
        <v>74068.800000000003</v>
      </c>
      <c r="AA14" s="25">
        <v>37.380000000000003</v>
      </c>
      <c r="AB14" s="25">
        <f t="shared" si="11"/>
        <v>77750.400000000009</v>
      </c>
      <c r="AC14" s="25">
        <v>38.71</v>
      </c>
      <c r="AD14" s="24">
        <f t="shared" si="12"/>
        <v>80516.800000000003</v>
      </c>
    </row>
    <row r="15" spans="1:39" ht="15.75" customHeight="1">
      <c r="A15" s="4" t="s">
        <v>50</v>
      </c>
      <c r="B15" s="5">
        <v>56</v>
      </c>
      <c r="C15" s="5" t="s">
        <v>51</v>
      </c>
      <c r="D15" s="2" t="s">
        <v>35</v>
      </c>
      <c r="E15" s="25">
        <v>12.67</v>
      </c>
      <c r="F15" s="25">
        <f t="shared" si="0"/>
        <v>26353.599999999999</v>
      </c>
      <c r="G15" s="25">
        <v>12.8</v>
      </c>
      <c r="H15" s="25">
        <f t="shared" si="1"/>
        <v>26624</v>
      </c>
      <c r="I15" s="25">
        <v>12.74</v>
      </c>
      <c r="J15" s="25">
        <f t="shared" si="2"/>
        <v>26499.200000000001</v>
      </c>
      <c r="K15" s="25">
        <v>12.96</v>
      </c>
      <c r="L15" s="25">
        <f t="shared" si="3"/>
        <v>26956.800000000003</v>
      </c>
      <c r="M15" s="25">
        <v>13.15</v>
      </c>
      <c r="N15" s="25">
        <f t="shared" si="4"/>
        <v>27352</v>
      </c>
      <c r="O15" s="25">
        <v>13.43</v>
      </c>
      <c r="P15" s="25">
        <f t="shared" si="5"/>
        <v>27934.399999999998</v>
      </c>
      <c r="Q15" s="25">
        <v>13.88</v>
      </c>
      <c r="R15" s="25">
        <f t="shared" si="6"/>
        <v>28870.400000000001</v>
      </c>
      <c r="S15" s="25">
        <v>14.28</v>
      </c>
      <c r="T15" s="25">
        <f t="shared" si="7"/>
        <v>29702.399999999998</v>
      </c>
      <c r="U15" s="25">
        <v>14.84</v>
      </c>
      <c r="V15" s="25">
        <f t="shared" si="8"/>
        <v>30867.200000000001</v>
      </c>
      <c r="W15" s="26">
        <v>15.48</v>
      </c>
      <c r="X15" s="26">
        <f t="shared" si="9"/>
        <v>32198.400000000001</v>
      </c>
      <c r="Y15" s="25">
        <v>16.29</v>
      </c>
      <c r="Z15" s="25">
        <f t="shared" si="10"/>
        <v>33883.199999999997</v>
      </c>
      <c r="AA15" s="25">
        <v>17.48</v>
      </c>
      <c r="AB15" s="25">
        <f t="shared" si="11"/>
        <v>36358.400000000001</v>
      </c>
      <c r="AC15" s="25">
        <v>17.75</v>
      </c>
      <c r="AD15" s="24">
        <f t="shared" si="12"/>
        <v>36920</v>
      </c>
    </row>
    <row r="16" spans="1:39" ht="15.75" customHeight="1">
      <c r="A16" s="4" t="s">
        <v>52</v>
      </c>
      <c r="B16" s="5">
        <v>61</v>
      </c>
      <c r="C16" s="5" t="s">
        <v>53</v>
      </c>
      <c r="D16" s="2" t="s">
        <v>54</v>
      </c>
      <c r="E16" s="25">
        <v>20.73</v>
      </c>
      <c r="F16" s="25">
        <f t="shared" si="0"/>
        <v>43118.400000000001</v>
      </c>
      <c r="G16" s="25">
        <v>21.03</v>
      </c>
      <c r="H16" s="25">
        <f t="shared" si="1"/>
        <v>43742.400000000001</v>
      </c>
      <c r="I16" s="25">
        <v>21.1</v>
      </c>
      <c r="J16" s="25">
        <f t="shared" si="2"/>
        <v>43888</v>
      </c>
      <c r="K16" s="25">
        <v>21.22</v>
      </c>
      <c r="L16" s="25">
        <f t="shared" si="3"/>
        <v>44137.599999999999</v>
      </c>
      <c r="M16" s="25">
        <v>21.51</v>
      </c>
      <c r="N16" s="25">
        <f t="shared" si="4"/>
        <v>44740.800000000003</v>
      </c>
      <c r="O16" s="25">
        <v>21.89</v>
      </c>
      <c r="P16" s="25">
        <f t="shared" si="5"/>
        <v>45531.200000000004</v>
      </c>
      <c r="Q16" s="25">
        <v>22.46</v>
      </c>
      <c r="R16" s="25">
        <f t="shared" si="6"/>
        <v>46716.800000000003</v>
      </c>
      <c r="S16" s="25">
        <v>22.88</v>
      </c>
      <c r="T16" s="25">
        <f t="shared" si="7"/>
        <v>47590.400000000001</v>
      </c>
      <c r="U16" s="25">
        <v>23.48</v>
      </c>
      <c r="V16" s="25">
        <f t="shared" si="8"/>
        <v>48838.400000000001</v>
      </c>
      <c r="W16" s="26">
        <v>24.11</v>
      </c>
      <c r="X16" s="26">
        <f t="shared" si="9"/>
        <v>50148.799999999996</v>
      </c>
      <c r="Y16" s="25">
        <v>24.85</v>
      </c>
      <c r="Z16" s="25">
        <f t="shared" si="10"/>
        <v>51688</v>
      </c>
      <c r="AA16" s="25">
        <v>24.1</v>
      </c>
      <c r="AB16" s="25">
        <f t="shared" si="11"/>
        <v>50128</v>
      </c>
      <c r="AC16" s="25">
        <v>26.49</v>
      </c>
      <c r="AD16" s="24">
        <f t="shared" si="12"/>
        <v>55099.199999999997</v>
      </c>
    </row>
    <row r="17" spans="1:30" ht="15.75" customHeight="1">
      <c r="A17" s="4" t="s">
        <v>55</v>
      </c>
      <c r="B17" s="5">
        <v>62</v>
      </c>
      <c r="C17" s="5" t="s">
        <v>56</v>
      </c>
      <c r="D17" s="2" t="s">
        <v>54</v>
      </c>
      <c r="E17" s="25">
        <v>16.329999999999998</v>
      </c>
      <c r="F17" s="25">
        <f t="shared" si="0"/>
        <v>33966.399999999994</v>
      </c>
      <c r="G17" s="25">
        <v>16.73</v>
      </c>
      <c r="H17" s="25">
        <f t="shared" si="1"/>
        <v>34798.400000000001</v>
      </c>
      <c r="I17" s="25">
        <v>16.940000000000001</v>
      </c>
      <c r="J17" s="25">
        <f t="shared" si="2"/>
        <v>35235.200000000004</v>
      </c>
      <c r="K17" s="25">
        <v>17.16</v>
      </c>
      <c r="L17" s="25">
        <f t="shared" si="3"/>
        <v>35692.800000000003</v>
      </c>
      <c r="M17" s="25">
        <v>17.38</v>
      </c>
      <c r="N17" s="25">
        <f t="shared" si="4"/>
        <v>36150.400000000001</v>
      </c>
      <c r="O17" s="25">
        <v>17.72</v>
      </c>
      <c r="P17" s="25">
        <f t="shared" si="5"/>
        <v>36857.599999999999</v>
      </c>
      <c r="Q17" s="25">
        <v>18.11</v>
      </c>
      <c r="R17" s="25">
        <f t="shared" si="6"/>
        <v>37668.799999999996</v>
      </c>
      <c r="S17" s="25">
        <v>18.16</v>
      </c>
      <c r="T17" s="25">
        <f t="shared" si="7"/>
        <v>37772.800000000003</v>
      </c>
      <c r="U17" s="25">
        <v>18.559999999999999</v>
      </c>
      <c r="V17" s="25">
        <f t="shared" si="8"/>
        <v>38604.799999999996</v>
      </c>
      <c r="W17" s="26">
        <v>18.989999999999998</v>
      </c>
      <c r="X17" s="26">
        <f t="shared" si="9"/>
        <v>39499.199999999997</v>
      </c>
      <c r="Y17" s="25">
        <v>19.600000000000001</v>
      </c>
      <c r="Z17" s="25">
        <f t="shared" si="10"/>
        <v>40768</v>
      </c>
      <c r="AA17" s="25">
        <v>20.23</v>
      </c>
      <c r="AB17" s="25">
        <f t="shared" si="11"/>
        <v>42078.400000000001</v>
      </c>
      <c r="AC17" s="25">
        <v>21.59</v>
      </c>
      <c r="AD17" s="24">
        <f t="shared" si="12"/>
        <v>44907.199999999997</v>
      </c>
    </row>
    <row r="18" spans="1:30" ht="15.75" customHeight="1">
      <c r="A18" s="4" t="s">
        <v>57</v>
      </c>
      <c r="B18" s="5">
        <v>71</v>
      </c>
      <c r="C18" s="5" t="s">
        <v>58</v>
      </c>
      <c r="D18" s="2" t="s">
        <v>35</v>
      </c>
      <c r="E18" s="25">
        <v>11.22</v>
      </c>
      <c r="F18" s="25">
        <f t="shared" si="0"/>
        <v>23337.600000000002</v>
      </c>
      <c r="G18" s="25">
        <v>11.29</v>
      </c>
      <c r="H18" s="25">
        <f t="shared" si="1"/>
        <v>23483.199999999997</v>
      </c>
      <c r="I18" s="25">
        <v>11.39</v>
      </c>
      <c r="J18" s="25">
        <f t="shared" si="2"/>
        <v>23691.200000000001</v>
      </c>
      <c r="K18" s="25">
        <v>11.49</v>
      </c>
      <c r="L18" s="25">
        <f t="shared" si="3"/>
        <v>23899.200000000001</v>
      </c>
      <c r="M18" s="25">
        <v>11.68</v>
      </c>
      <c r="N18" s="25">
        <f t="shared" si="4"/>
        <v>24294.399999999998</v>
      </c>
      <c r="O18" s="25">
        <v>11.99</v>
      </c>
      <c r="P18" s="25">
        <f t="shared" si="5"/>
        <v>24939.200000000001</v>
      </c>
      <c r="Q18" s="25">
        <v>12.3</v>
      </c>
      <c r="R18" s="25">
        <f t="shared" si="6"/>
        <v>25584</v>
      </c>
      <c r="S18" s="25">
        <v>12.66</v>
      </c>
      <c r="T18" s="25">
        <f t="shared" si="7"/>
        <v>26332.799999999999</v>
      </c>
      <c r="U18" s="25">
        <v>13.19</v>
      </c>
      <c r="V18" s="25">
        <f t="shared" si="8"/>
        <v>27435.200000000001</v>
      </c>
      <c r="W18" s="26">
        <v>13.88</v>
      </c>
      <c r="X18" s="26">
        <f t="shared" si="9"/>
        <v>28870.400000000001</v>
      </c>
      <c r="Y18" s="25">
        <v>14.72</v>
      </c>
      <c r="Z18" s="25">
        <f t="shared" si="10"/>
        <v>30617.600000000002</v>
      </c>
      <c r="AA18" s="25">
        <v>14.7</v>
      </c>
      <c r="AB18" s="25">
        <f t="shared" si="11"/>
        <v>30576</v>
      </c>
      <c r="AC18" s="25">
        <v>16.72</v>
      </c>
      <c r="AD18" s="24">
        <f t="shared" si="12"/>
        <v>34777.599999999999</v>
      </c>
    </row>
    <row r="19" spans="1:30" ht="42.5">
      <c r="A19" s="4" t="s">
        <v>59</v>
      </c>
      <c r="B19" s="5">
        <v>72</v>
      </c>
      <c r="C19" s="5" t="s">
        <v>60</v>
      </c>
      <c r="D19" s="2" t="s">
        <v>35</v>
      </c>
      <c r="E19" s="25">
        <v>9.0500000000000007</v>
      </c>
      <c r="F19" s="25">
        <f t="shared" si="0"/>
        <v>18824</v>
      </c>
      <c r="G19" s="25">
        <v>9.14</v>
      </c>
      <c r="H19" s="25">
        <f t="shared" si="1"/>
        <v>19011.2</v>
      </c>
      <c r="I19" s="25">
        <v>9.18</v>
      </c>
      <c r="J19" s="25">
        <f t="shared" si="2"/>
        <v>19094.399999999998</v>
      </c>
      <c r="K19" s="25">
        <v>9.2200000000000006</v>
      </c>
      <c r="L19" s="25">
        <f t="shared" si="3"/>
        <v>19177.600000000002</v>
      </c>
      <c r="M19" s="25">
        <v>9.3000000000000007</v>
      </c>
      <c r="N19" s="25">
        <f t="shared" si="4"/>
        <v>19344</v>
      </c>
      <c r="O19" s="25">
        <v>9.49</v>
      </c>
      <c r="P19" s="25">
        <f t="shared" si="5"/>
        <v>19739.2</v>
      </c>
      <c r="Q19" s="25">
        <v>10.01</v>
      </c>
      <c r="R19" s="25">
        <f t="shared" si="6"/>
        <v>20820.8</v>
      </c>
      <c r="S19" s="25">
        <v>10.57</v>
      </c>
      <c r="T19" s="25">
        <f t="shared" si="7"/>
        <v>21985.600000000002</v>
      </c>
      <c r="U19" s="25">
        <v>11.12</v>
      </c>
      <c r="V19" s="25">
        <f t="shared" si="8"/>
        <v>23129.599999999999</v>
      </c>
      <c r="W19" s="26">
        <v>11.64</v>
      </c>
      <c r="X19" s="26">
        <f t="shared" si="9"/>
        <v>24211.200000000001</v>
      </c>
      <c r="Y19" s="25">
        <v>12.19</v>
      </c>
      <c r="Z19" s="25">
        <f t="shared" si="10"/>
        <v>25355.200000000001</v>
      </c>
      <c r="AA19" s="25">
        <v>13.69</v>
      </c>
      <c r="AB19" s="25">
        <f t="shared" si="11"/>
        <v>28475.200000000001</v>
      </c>
      <c r="AC19" s="25">
        <v>14.31</v>
      </c>
      <c r="AD19" s="24">
        <f t="shared" si="12"/>
        <v>29764.799999999999</v>
      </c>
    </row>
    <row r="20" spans="1:30" ht="42.5">
      <c r="A20" s="4" t="s">
        <v>61</v>
      </c>
      <c r="B20" s="5">
        <v>81</v>
      </c>
      <c r="C20" s="5" t="s">
        <v>62</v>
      </c>
      <c r="D20" s="2" t="s">
        <v>35</v>
      </c>
      <c r="E20" s="25">
        <v>13.24</v>
      </c>
      <c r="F20" s="25">
        <f t="shared" si="0"/>
        <v>27539.200000000001</v>
      </c>
      <c r="G20" s="25">
        <v>13.38</v>
      </c>
      <c r="H20" s="25">
        <f t="shared" si="1"/>
        <v>27830.400000000001</v>
      </c>
      <c r="I20" s="25">
        <v>13.54</v>
      </c>
      <c r="J20" s="25">
        <f t="shared" si="2"/>
        <v>28163.199999999997</v>
      </c>
      <c r="K20" s="25">
        <v>13.69</v>
      </c>
      <c r="L20" s="25">
        <f t="shared" si="3"/>
        <v>28475.200000000001</v>
      </c>
      <c r="M20" s="25">
        <v>13.99</v>
      </c>
      <c r="N20" s="25">
        <f t="shared" si="4"/>
        <v>29099.200000000001</v>
      </c>
      <c r="O20" s="25">
        <v>14.3</v>
      </c>
      <c r="P20" s="25">
        <f t="shared" si="5"/>
        <v>29744</v>
      </c>
      <c r="Q20" s="25">
        <v>14.69</v>
      </c>
      <c r="R20" s="25">
        <f t="shared" si="6"/>
        <v>30555.200000000001</v>
      </c>
      <c r="S20" s="25">
        <v>15.03</v>
      </c>
      <c r="T20" s="25">
        <f t="shared" si="7"/>
        <v>31262.399999999998</v>
      </c>
      <c r="U20" s="25">
        <v>15.59</v>
      </c>
      <c r="V20" s="25">
        <f t="shared" si="8"/>
        <v>32427.200000000001</v>
      </c>
      <c r="W20" s="26">
        <v>16.329999999999998</v>
      </c>
      <c r="X20" s="26">
        <f t="shared" si="9"/>
        <v>33966.399999999994</v>
      </c>
      <c r="Y20" s="25">
        <v>17.5</v>
      </c>
      <c r="Z20" s="25">
        <f t="shared" si="10"/>
        <v>36400</v>
      </c>
      <c r="AA20" s="25">
        <v>18.02</v>
      </c>
      <c r="AB20" s="25">
        <f t="shared" si="11"/>
        <v>37481.599999999999</v>
      </c>
      <c r="AC20" s="25">
        <v>18.88</v>
      </c>
      <c r="AD20" s="24">
        <f t="shared" si="12"/>
        <v>39270.400000000001</v>
      </c>
    </row>
    <row r="21" spans="1:30" ht="28.5">
      <c r="A21" s="4" t="s">
        <v>63</v>
      </c>
      <c r="B21" s="5">
        <v>92</v>
      </c>
      <c r="C21" s="5" t="s">
        <v>64</v>
      </c>
      <c r="D21" s="2" t="s">
        <v>54</v>
      </c>
      <c r="E21" s="25">
        <v>21.97</v>
      </c>
      <c r="F21" s="25">
        <f t="shared" si="0"/>
        <v>45697.599999999999</v>
      </c>
      <c r="G21" s="25">
        <v>22.37</v>
      </c>
      <c r="H21" s="25">
        <f xml:space="preserve"> G21*2080</f>
        <v>46529.599999999999</v>
      </c>
      <c r="I21" s="25">
        <v>22.58</v>
      </c>
      <c r="J21" s="25">
        <f t="shared" si="2"/>
        <v>46966.399999999994</v>
      </c>
      <c r="K21" s="25">
        <v>22.87</v>
      </c>
      <c r="L21" s="25">
        <f t="shared" si="3"/>
        <v>47569.599999999999</v>
      </c>
      <c r="M21" s="25">
        <v>23.49</v>
      </c>
      <c r="N21" s="25">
        <f t="shared" si="4"/>
        <v>48859.199999999997</v>
      </c>
      <c r="O21" s="25">
        <v>23.83</v>
      </c>
      <c r="P21" s="25">
        <f t="shared" si="5"/>
        <v>49566.399999999994</v>
      </c>
      <c r="Q21" s="25">
        <v>24.36</v>
      </c>
      <c r="R21" s="25">
        <f t="shared" si="6"/>
        <v>50668.799999999996</v>
      </c>
      <c r="S21" s="25">
        <v>24.85</v>
      </c>
      <c r="T21" s="25">
        <f t="shared" si="7"/>
        <v>51688</v>
      </c>
      <c r="U21" s="25">
        <v>25.57</v>
      </c>
      <c r="V21" s="25">
        <f t="shared" si="8"/>
        <v>53185.599999999999</v>
      </c>
      <c r="W21" s="26">
        <v>26.21</v>
      </c>
      <c r="X21" s="26">
        <f t="shared" si="9"/>
        <v>54516.800000000003</v>
      </c>
      <c r="Y21" s="25">
        <v>27.22</v>
      </c>
      <c r="Z21" s="25">
        <f t="shared" si="10"/>
        <v>56617.599999999999</v>
      </c>
      <c r="AA21" s="25">
        <v>28.91</v>
      </c>
      <c r="AB21" s="25">
        <f t="shared" si="11"/>
        <v>60132.800000000003</v>
      </c>
      <c r="AC21" s="25">
        <v>29.36</v>
      </c>
      <c r="AD21" s="24">
        <f t="shared" si="12"/>
        <v>61068.799999999996</v>
      </c>
    </row>
  </sheetData>
  <phoneticPr fontId="3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5AF8-E950-4B6E-9D08-FFE98CCD59D6}">
  <dimension ref="A1:AD21"/>
  <sheetViews>
    <sheetView workbookViewId="0">
      <selection activeCell="AD28" sqref="AD28:AD29"/>
    </sheetView>
  </sheetViews>
  <sheetFormatPr defaultColWidth="14.1796875" defaultRowHeight="12.5"/>
  <cols>
    <col min="2" max="2" width="7.6328125" customWidth="1"/>
    <col min="5" max="23" width="14.26953125" bestFit="1" customWidth="1"/>
    <col min="24" max="24" width="14.453125" bestFit="1" customWidth="1"/>
    <col min="25" max="25" width="14.26953125" bestFit="1" customWidth="1"/>
    <col min="26" max="26" width="14.453125" bestFit="1" customWidth="1"/>
    <col min="27" max="27" width="14.26953125" bestFit="1" customWidth="1"/>
  </cols>
  <sheetData>
    <row r="1" spans="1:30" ht="14">
      <c r="A1" s="20" t="s">
        <v>0</v>
      </c>
      <c r="B1" s="20" t="s">
        <v>1</v>
      </c>
      <c r="C1" s="20" t="s">
        <v>2</v>
      </c>
      <c r="D1" s="1" t="s">
        <v>3</v>
      </c>
      <c r="E1" s="12" t="s">
        <v>86</v>
      </c>
      <c r="F1" s="12" t="s">
        <v>87</v>
      </c>
      <c r="G1" s="12" t="s">
        <v>88</v>
      </c>
      <c r="H1" s="12" t="s">
        <v>89</v>
      </c>
      <c r="I1" s="12" t="s">
        <v>90</v>
      </c>
      <c r="J1" s="12" t="s">
        <v>91</v>
      </c>
      <c r="K1" s="12" t="s">
        <v>92</v>
      </c>
      <c r="L1" s="12" t="s">
        <v>93</v>
      </c>
      <c r="M1" s="12" t="s">
        <v>94</v>
      </c>
      <c r="N1" s="12" t="s">
        <v>95</v>
      </c>
      <c r="O1" s="12" t="s">
        <v>96</v>
      </c>
      <c r="P1" s="12" t="s">
        <v>97</v>
      </c>
      <c r="Q1" s="12" t="s">
        <v>98</v>
      </c>
      <c r="R1" s="12" t="s">
        <v>99</v>
      </c>
      <c r="S1" s="12" t="s">
        <v>100</v>
      </c>
      <c r="T1" s="12" t="s">
        <v>101</v>
      </c>
      <c r="U1" s="12" t="s">
        <v>102</v>
      </c>
      <c r="V1" s="12" t="s">
        <v>103</v>
      </c>
      <c r="W1" s="12" t="s">
        <v>104</v>
      </c>
      <c r="X1" s="12" t="s">
        <v>105</v>
      </c>
      <c r="Y1" s="12" t="s">
        <v>106</v>
      </c>
      <c r="Z1" s="12" t="s">
        <v>107</v>
      </c>
      <c r="AA1" s="12" t="s">
        <v>108</v>
      </c>
      <c r="AB1" s="12" t="s">
        <v>109</v>
      </c>
      <c r="AC1" s="12" t="s">
        <v>110</v>
      </c>
      <c r="AD1" s="12" t="s">
        <v>111</v>
      </c>
    </row>
    <row r="2" spans="1:30" ht="14">
      <c r="A2" s="21" t="s">
        <v>17</v>
      </c>
      <c r="B2" s="22">
        <v>11</v>
      </c>
      <c r="C2" s="22" t="s">
        <v>18</v>
      </c>
      <c r="D2" s="2" t="s">
        <v>19</v>
      </c>
      <c r="E2" s="24">
        <f xml:space="preserve"> National_NAICS!E2*Index!$D$14</f>
        <v>12.346007905138341</v>
      </c>
      <c r="F2" s="24">
        <f xml:space="preserve"> E2*2080</f>
        <v>25679.696442687749</v>
      </c>
      <c r="G2" s="24">
        <f xml:space="preserve"> National_NAICS!G2*Index!$D$13</f>
        <v>12.326623544631303</v>
      </c>
      <c r="H2" s="24">
        <f xml:space="preserve"> G2*2080</f>
        <v>25639.37697283311</v>
      </c>
      <c r="I2" s="24">
        <f xml:space="preserve"> National_NAICS!I2*Index!$D$12</f>
        <v>12.326982097186701</v>
      </c>
      <c r="J2" s="24">
        <f xml:space="preserve"> I2*2080</f>
        <v>25640.122762148338</v>
      </c>
      <c r="K2" s="24">
        <f xml:space="preserve"> National_NAICS!K2*Index!$D$11</f>
        <v>12.382828282828283</v>
      </c>
      <c r="L2" s="24">
        <f xml:space="preserve"> K2*2080</f>
        <v>25756.28282828283</v>
      </c>
      <c r="M2" s="24">
        <f xml:space="preserve"> National_NAICS!M2*Index!$D$10</f>
        <v>12.661878109452736</v>
      </c>
      <c r="N2" s="24">
        <f xml:space="preserve"> M2*2080</f>
        <v>26336.70646766169</v>
      </c>
      <c r="O2" s="24">
        <f xml:space="preserve"> National_NAICS!O2*Index!$D$9</f>
        <v>13.582460414129109</v>
      </c>
      <c r="P2" s="24">
        <f xml:space="preserve"> O2*2080</f>
        <v>28251.517661388545</v>
      </c>
      <c r="Q2" s="24">
        <f xml:space="preserve"> National_NAICS!Q2*Index!$D$8</f>
        <v>14.665463182897861</v>
      </c>
      <c r="R2" s="24">
        <f>Q2*2080</f>
        <v>30504.163420427551</v>
      </c>
      <c r="S2" s="24">
        <f xml:space="preserve"> National_NAICS!S2*Index!$D$7</f>
        <v>15.128940011648222</v>
      </c>
      <c r="T2" s="24">
        <f xml:space="preserve"> S2*2080</f>
        <v>31468.195224228301</v>
      </c>
      <c r="U2" s="24">
        <f xml:space="preserve"> National_NAICS!U2*Index!$D$6</f>
        <v>15.708341822297678</v>
      </c>
      <c r="V2" s="24">
        <f xml:space="preserve"> U2*2080</f>
        <v>32673.350990379171</v>
      </c>
      <c r="W2" s="24">
        <f xml:space="preserve"> National_NAICS!W2*Index!$D$5</f>
        <v>16.957063013698633</v>
      </c>
      <c r="X2" s="24">
        <f xml:space="preserve"> W2*2080</f>
        <v>35270.691068493157</v>
      </c>
      <c r="Y2" s="24">
        <f xml:space="preserve"> National_NAICS!Y2*Index!$D$4</f>
        <v>18.80637311099531</v>
      </c>
      <c r="Z2" s="24">
        <f xml:space="preserve"> Y2*2080</f>
        <v>39117.256070870244</v>
      </c>
      <c r="AA2" s="24">
        <f xml:space="preserve"> National_NAICS!AA2*Index!$D$3</f>
        <v>20.408903531892463</v>
      </c>
      <c r="AB2" s="24">
        <f xml:space="preserve"> AA2*2080</f>
        <v>42450.519346336325</v>
      </c>
      <c r="AC2" s="24">
        <f xml:space="preserve"> National_NAICS!AC2*Index!$D$2</f>
        <v>21.072474323062554</v>
      </c>
      <c r="AD2" s="24">
        <f xml:space="preserve"> AC2*2080</f>
        <v>43830.746591970114</v>
      </c>
    </row>
    <row r="3" spans="1:30" ht="14">
      <c r="A3" s="21" t="s">
        <v>20</v>
      </c>
      <c r="B3" s="22">
        <v>21</v>
      </c>
      <c r="C3" s="22" t="s">
        <v>21</v>
      </c>
      <c r="D3" s="2" t="s">
        <v>19</v>
      </c>
      <c r="E3" s="24">
        <f xml:space="preserve"> National_NAICS!E3*Index!$D$14</f>
        <v>28.601146245059287</v>
      </c>
      <c r="F3" s="24">
        <f t="shared" ref="F3:F21" si="0" xml:space="preserve"> E3*2080</f>
        <v>59490.384189723314</v>
      </c>
      <c r="G3" s="24">
        <f xml:space="preserve"> National_NAICS!G3*Index!$D$13</f>
        <v>29.183544631306592</v>
      </c>
      <c r="H3" s="24">
        <f t="shared" ref="H3:H21" si="1" xml:space="preserve"> G3*2080</f>
        <v>60701.772833117713</v>
      </c>
      <c r="I3" s="24">
        <f xml:space="preserve"> National_NAICS!I3*Index!$D$12</f>
        <v>29.991285166240409</v>
      </c>
      <c r="J3" s="24">
        <f t="shared" ref="J3:J21" si="2" xml:space="preserve"> I3*2080</f>
        <v>62381.873145780053</v>
      </c>
      <c r="K3" s="24">
        <f xml:space="preserve"> National_NAICS!K3*Index!$D$11</f>
        <v>30.293939393939393</v>
      </c>
      <c r="L3" s="24">
        <f t="shared" ref="L3:L21" si="3" xml:space="preserve"> K3*2080</f>
        <v>63011.393939393936</v>
      </c>
      <c r="M3" s="24">
        <f xml:space="preserve"> National_NAICS!M3*Index!$D$10</f>
        <v>30.754004975124378</v>
      </c>
      <c r="N3" s="24">
        <f t="shared" ref="N3:N21" si="4" xml:space="preserve"> M3*2080</f>
        <v>63968.330348258707</v>
      </c>
      <c r="O3" s="24">
        <f xml:space="preserve"> National_NAICS!O3*Index!$D$9</f>
        <v>30.767113276492079</v>
      </c>
      <c r="P3" s="24">
        <f t="shared" ref="P3:P21" si="5" xml:space="preserve"> O3*2080</f>
        <v>63995.595615103528</v>
      </c>
      <c r="Q3" s="24">
        <f xml:space="preserve"> National_NAICS!Q3*Index!$D$8</f>
        <v>32.442173396674583</v>
      </c>
      <c r="R3" s="24">
        <f t="shared" ref="R3:R21" si="6">Q3*2080</f>
        <v>67479.720665083136</v>
      </c>
      <c r="S3" s="24">
        <f xml:space="preserve"> National_NAICS!S3*Index!$D$7</f>
        <v>31.92887594641817</v>
      </c>
      <c r="T3" s="24">
        <f t="shared" ref="T3:T21" si="7" xml:space="preserve"> S3*2080</f>
        <v>66412.061968549795</v>
      </c>
      <c r="U3" s="24">
        <f xml:space="preserve"> National_NAICS!U3*Index!$D$6</f>
        <v>32.082942840973395</v>
      </c>
      <c r="V3" s="24">
        <f t="shared" ref="V3:V21" si="8" xml:space="preserve"> U3*2080</f>
        <v>66732.521109224661</v>
      </c>
      <c r="W3" s="24">
        <f xml:space="preserve"> National_NAICS!W3*Index!$D$5</f>
        <v>32.730476712328773</v>
      </c>
      <c r="X3" s="24">
        <f t="shared" ref="X3:X21" si="9" xml:space="preserve"> W3*2080</f>
        <v>68079.391561643846</v>
      </c>
      <c r="Y3" s="24">
        <f xml:space="preserve"> National_NAICS!Y3*Index!$D$4</f>
        <v>34.419702970297031</v>
      </c>
      <c r="Z3" s="24">
        <f t="shared" ref="Z3:Z21" si="10" xml:space="preserve"> Y3*2080</f>
        <v>71592.982178217819</v>
      </c>
      <c r="AA3" s="24">
        <f xml:space="preserve"> National_NAICS!AA3*Index!$D$3</f>
        <v>40.747090142329995</v>
      </c>
      <c r="AB3" s="24">
        <f t="shared" ref="AB3:AB21" si="11" xml:space="preserve"> AA3*2080</f>
        <v>84753.947496046385</v>
      </c>
      <c r="AC3" s="24">
        <f xml:space="preserve"> National_NAICS!AC3*Index!$D$2</f>
        <v>36.709383753501399</v>
      </c>
      <c r="AD3" s="24">
        <f t="shared" ref="AD3:AD21" si="12" xml:space="preserve"> AC3*2080</f>
        <v>76355.518207282905</v>
      </c>
    </row>
    <row r="4" spans="1:30" ht="14">
      <c r="A4" s="21" t="s">
        <v>22</v>
      </c>
      <c r="B4" s="22">
        <v>22</v>
      </c>
      <c r="C4" s="22" t="s">
        <v>23</v>
      </c>
      <c r="D4" s="2" t="s">
        <v>24</v>
      </c>
      <c r="E4" s="24">
        <f xml:space="preserve"> National_NAICS!E4*Index!$D$14</f>
        <v>38.459525691699604</v>
      </c>
      <c r="F4" s="24">
        <f t="shared" si="0"/>
        <v>79995.813438735175</v>
      </c>
      <c r="G4" s="24">
        <f xml:space="preserve"> National_NAICS!G4*Index!$D$13</f>
        <v>39.640103492884862</v>
      </c>
      <c r="H4" s="24">
        <f t="shared" si="1"/>
        <v>82451.415265200514</v>
      </c>
      <c r="I4" s="24">
        <f xml:space="preserve"> National_NAICS!I4*Index!$D$12</f>
        <v>40.28562659846547</v>
      </c>
      <c r="J4" s="24">
        <f t="shared" si="2"/>
        <v>83794.10332480818</v>
      </c>
      <c r="K4" s="24">
        <f xml:space="preserve"> National_NAICS!K4*Index!$D$11</f>
        <v>41.69191919191919</v>
      </c>
      <c r="L4" s="24">
        <f t="shared" si="3"/>
        <v>86719.191919191915</v>
      </c>
      <c r="M4" s="24">
        <f xml:space="preserve"> National_NAICS!M4*Index!$D$10</f>
        <v>42.789315920398018</v>
      </c>
      <c r="N4" s="24">
        <f t="shared" si="4"/>
        <v>89001.777114427881</v>
      </c>
      <c r="O4" s="24">
        <f xml:space="preserve"> National_NAICS!O4*Index!$D$9</f>
        <v>43.458708891595606</v>
      </c>
      <c r="P4" s="24">
        <f t="shared" si="5"/>
        <v>90394.114494518857</v>
      </c>
      <c r="Q4" s="24">
        <f xml:space="preserve"> National_NAICS!Q4*Index!$D$8</f>
        <v>44.87425178147268</v>
      </c>
      <c r="R4" s="24">
        <f t="shared" si="6"/>
        <v>93338.443705463171</v>
      </c>
      <c r="S4" s="24">
        <f xml:space="preserve"> National_NAICS!S4*Index!$D$7</f>
        <v>45.695311589982524</v>
      </c>
      <c r="T4" s="24">
        <f t="shared" si="7"/>
        <v>95046.248107163643</v>
      </c>
      <c r="U4" s="24">
        <f xml:space="preserve"> National_NAICS!U4*Index!$D$6</f>
        <v>46.753457838143746</v>
      </c>
      <c r="V4" s="24">
        <f t="shared" si="8"/>
        <v>97247.19230333899</v>
      </c>
      <c r="W4" s="24">
        <f xml:space="preserve"> National_NAICS!W4*Index!$D$5</f>
        <v>48.246575342465761</v>
      </c>
      <c r="X4" s="24">
        <f t="shared" si="9"/>
        <v>100352.87671232878</v>
      </c>
      <c r="Y4" s="24">
        <f xml:space="preserve"> National_NAICS!Y4*Index!$D$4</f>
        <v>50.528280354351232</v>
      </c>
      <c r="Z4" s="24">
        <f t="shared" si="10"/>
        <v>105098.82313705057</v>
      </c>
      <c r="AA4" s="24">
        <f xml:space="preserve"> National_NAICS!AA4*Index!$D$3</f>
        <v>55.908798102266744</v>
      </c>
      <c r="AB4" s="24">
        <f t="shared" si="11"/>
        <v>116290.30005271483</v>
      </c>
      <c r="AC4" s="24">
        <f xml:space="preserve"> National_NAICS!AC4*Index!$D$2</f>
        <v>56.970387488328655</v>
      </c>
      <c r="AD4" s="24">
        <f t="shared" si="12"/>
        <v>118498.4059757236</v>
      </c>
    </row>
    <row r="5" spans="1:30" ht="14">
      <c r="A5" s="21" t="s">
        <v>25</v>
      </c>
      <c r="B5" s="22">
        <v>23</v>
      </c>
      <c r="C5" s="22" t="s">
        <v>26</v>
      </c>
      <c r="D5" s="2" t="s">
        <v>24</v>
      </c>
      <c r="E5" s="24">
        <f xml:space="preserve"> National_NAICS!E5*Index!$D$14</f>
        <v>25.205335968379444</v>
      </c>
      <c r="F5" s="24">
        <f t="shared" si="0"/>
        <v>52427.098814229241</v>
      </c>
      <c r="G5" s="24">
        <f xml:space="preserve"> National_NAICS!G5*Index!$D$13</f>
        <v>25.759482535575675</v>
      </c>
      <c r="H5" s="24">
        <f t="shared" si="1"/>
        <v>53579.723673997403</v>
      </c>
      <c r="I5" s="24">
        <f xml:space="preserve"> National_NAICS!I5*Index!$D$12</f>
        <v>26.044028132992324</v>
      </c>
      <c r="J5" s="24">
        <f t="shared" si="2"/>
        <v>54171.578516624031</v>
      </c>
      <c r="K5" s="24">
        <f xml:space="preserve"> National_NAICS!K5*Index!$D$11</f>
        <v>26.407070707070705</v>
      </c>
      <c r="L5" s="24">
        <f t="shared" si="3"/>
        <v>54926.707070707067</v>
      </c>
      <c r="M5" s="24">
        <f xml:space="preserve"> National_NAICS!M5*Index!$D$10</f>
        <v>26.576890547263684</v>
      </c>
      <c r="N5" s="24">
        <f t="shared" si="4"/>
        <v>55279.932338308463</v>
      </c>
      <c r="O5" s="24">
        <f xml:space="preserve"> National_NAICS!O5*Index!$D$9</f>
        <v>26.906699147381239</v>
      </c>
      <c r="P5" s="24">
        <f t="shared" si="5"/>
        <v>55965.934226552978</v>
      </c>
      <c r="Q5" s="24">
        <f xml:space="preserve"> National_NAICS!Q5*Index!$D$8</f>
        <v>27.704299287410926</v>
      </c>
      <c r="R5" s="24">
        <f t="shared" si="6"/>
        <v>57624.942517814728</v>
      </c>
      <c r="S5" s="24">
        <f xml:space="preserve"> National_NAICS!S5*Index!$D$7</f>
        <v>28.316953989516598</v>
      </c>
      <c r="T5" s="24">
        <f t="shared" si="7"/>
        <v>58899.264298194525</v>
      </c>
      <c r="U5" s="24">
        <f xml:space="preserve"> National_NAICS!U5*Index!$D$6</f>
        <v>29.123214487832481</v>
      </c>
      <c r="V5" s="24">
        <f t="shared" si="8"/>
        <v>60576.28613469156</v>
      </c>
      <c r="W5" s="24">
        <f xml:space="preserve"> National_NAICS!W5*Index!$D$5</f>
        <v>30.324580821917813</v>
      </c>
      <c r="X5" s="24">
        <f t="shared" si="9"/>
        <v>63075.128109589052</v>
      </c>
      <c r="Y5" s="24">
        <f xml:space="preserve"> National_NAICS!Y5*Index!$D$4</f>
        <v>31.617644606565925</v>
      </c>
      <c r="Z5" s="24">
        <f t="shared" si="10"/>
        <v>65764.700781657128</v>
      </c>
      <c r="AA5" s="24">
        <f xml:space="preserve"> National_NAICS!AA5*Index!$D$3</f>
        <v>33.364243542435425</v>
      </c>
      <c r="AB5" s="24">
        <f t="shared" si="11"/>
        <v>69397.626568265681</v>
      </c>
      <c r="AC5" s="24">
        <f xml:space="preserve"> National_NAICS!AC5*Index!$D$2</f>
        <v>33.772633053221284</v>
      </c>
      <c r="AD5" s="24">
        <f t="shared" si="12"/>
        <v>70247.076750700275</v>
      </c>
    </row>
    <row r="6" spans="1:30" ht="14">
      <c r="A6" s="21" t="s">
        <v>27</v>
      </c>
      <c r="B6" s="22" t="s">
        <v>28</v>
      </c>
      <c r="C6" s="22" t="s">
        <v>29</v>
      </c>
      <c r="D6" s="2" t="s">
        <v>24</v>
      </c>
      <c r="E6" s="24">
        <f xml:space="preserve"> National_NAICS!E6*Index!$D$14</f>
        <v>22.980948616600791</v>
      </c>
      <c r="F6" s="24">
        <f t="shared" si="0"/>
        <v>47800.373122529643</v>
      </c>
      <c r="G6" s="24">
        <f xml:space="preserve"> National_NAICS!G6*Index!$D$13</f>
        <v>23.415316946959894</v>
      </c>
      <c r="H6" s="24">
        <f t="shared" si="1"/>
        <v>48703.859249676578</v>
      </c>
      <c r="I6" s="24">
        <f xml:space="preserve"> National_NAICS!I6*Index!$D$12</f>
        <v>23.578631713554987</v>
      </c>
      <c r="J6" s="24">
        <f t="shared" si="2"/>
        <v>49043.553964194376</v>
      </c>
      <c r="K6" s="24">
        <f xml:space="preserve"> National_NAICS!K6*Index!$D$11</f>
        <v>23.793939393939397</v>
      </c>
      <c r="L6" s="24">
        <f t="shared" si="3"/>
        <v>49491.393939393944</v>
      </c>
      <c r="M6" s="24">
        <f xml:space="preserve"> National_NAICS!M6*Index!$D$10</f>
        <v>23.940087064676618</v>
      </c>
      <c r="N6" s="24">
        <f t="shared" si="4"/>
        <v>49795.381094527365</v>
      </c>
      <c r="O6" s="24">
        <f xml:space="preserve"> National_NAICS!O6*Index!$D$9</f>
        <v>24.027527405602921</v>
      </c>
      <c r="P6" s="24">
        <f t="shared" si="5"/>
        <v>49977.257003654078</v>
      </c>
      <c r="Q6" s="24">
        <f xml:space="preserve"> National_NAICS!Q6*Index!$D$8</f>
        <v>24.528503562945367</v>
      </c>
      <c r="R6" s="24">
        <f t="shared" si="6"/>
        <v>51019.287410926365</v>
      </c>
      <c r="S6" s="24">
        <f xml:space="preserve"> National_NAICS!S6*Index!$D$7</f>
        <v>24.884985439720442</v>
      </c>
      <c r="T6" s="24">
        <f t="shared" si="7"/>
        <v>51760.769714618516</v>
      </c>
      <c r="U6" s="24">
        <f xml:space="preserve"> National_NAICS!U6*Index!$D$6</f>
        <v>25.471601584606674</v>
      </c>
      <c r="V6" s="24">
        <f t="shared" si="8"/>
        <v>52980.931295981878</v>
      </c>
      <c r="W6" s="24">
        <f xml:space="preserve"> National_NAICS!W6*Index!$D$5</f>
        <v>26.323331506849318</v>
      </c>
      <c r="X6" s="24">
        <f t="shared" si="9"/>
        <v>54752.529534246583</v>
      </c>
      <c r="Y6" s="24">
        <f xml:space="preserve"> National_NAICS!Y6*Index!$D$4</f>
        <v>27.62959874934862</v>
      </c>
      <c r="Z6" s="24">
        <f t="shared" si="10"/>
        <v>57469.565398645129</v>
      </c>
      <c r="AA6" s="24">
        <f xml:space="preserve"> National_NAICS!AA6*Index!$D$3</f>
        <v>31.836758039008966</v>
      </c>
      <c r="AB6" s="24">
        <f t="shared" si="11"/>
        <v>66220.456721138646</v>
      </c>
      <c r="AC6" s="24">
        <f xml:space="preserve"> National_NAICS!AC6*Index!$D$2</f>
        <v>29.483431372549017</v>
      </c>
      <c r="AD6" s="24">
        <f t="shared" si="12"/>
        <v>61325.537254901952</v>
      </c>
    </row>
    <row r="7" spans="1:30" ht="14">
      <c r="A7" s="21" t="s">
        <v>30</v>
      </c>
      <c r="B7" s="22">
        <v>42</v>
      </c>
      <c r="C7" s="22" t="s">
        <v>31</v>
      </c>
      <c r="D7" s="2" t="s">
        <v>24</v>
      </c>
      <c r="E7" s="24">
        <f xml:space="preserve"> National_NAICS!E7*Index!$D$14</f>
        <v>24.073399209486166</v>
      </c>
      <c r="F7" s="24">
        <f t="shared" si="0"/>
        <v>50072.670355731221</v>
      </c>
      <c r="G7" s="24">
        <f xml:space="preserve"> National_NAICS!G7*Index!$D$13</f>
        <v>24.508382923673992</v>
      </c>
      <c r="H7" s="24">
        <f t="shared" si="1"/>
        <v>50977.436481241901</v>
      </c>
      <c r="I7" s="24">
        <f xml:space="preserve"> National_NAICS!I7*Index!$D$12</f>
        <v>24.732647058823527</v>
      </c>
      <c r="J7" s="24">
        <f t="shared" si="2"/>
        <v>51443.905882352934</v>
      </c>
      <c r="K7" s="24">
        <f xml:space="preserve"> National_NAICS!K7*Index!$D$11</f>
        <v>25.054545454545451</v>
      </c>
      <c r="L7" s="24">
        <f t="shared" si="3"/>
        <v>52113.454545454537</v>
      </c>
      <c r="M7" s="24">
        <f xml:space="preserve"> National_NAICS!M7*Index!$D$10</f>
        <v>25.180167910447761</v>
      </c>
      <c r="N7" s="24">
        <f t="shared" si="4"/>
        <v>52374.749253731345</v>
      </c>
      <c r="O7" s="24">
        <f xml:space="preserve"> National_NAICS!O7*Index!$D$9</f>
        <v>25.434835566382457</v>
      </c>
      <c r="P7" s="24">
        <f t="shared" si="5"/>
        <v>52904.457978075508</v>
      </c>
      <c r="Q7" s="24">
        <f xml:space="preserve"> National_NAICS!Q7*Index!$D$8</f>
        <v>26.116401425178147</v>
      </c>
      <c r="R7" s="24">
        <f t="shared" si="6"/>
        <v>54322.114964370543</v>
      </c>
      <c r="S7" s="24">
        <f xml:space="preserve"> National_NAICS!S7*Index!$D$7</f>
        <v>26.51741991846243</v>
      </c>
      <c r="T7" s="24">
        <f t="shared" si="7"/>
        <v>55156.233430401851</v>
      </c>
      <c r="U7" s="24">
        <f xml:space="preserve"> National_NAICS!U7*Index!$D$6</f>
        <v>26.996310130164119</v>
      </c>
      <c r="V7" s="24">
        <f t="shared" si="8"/>
        <v>56152.325070741368</v>
      </c>
      <c r="W7" s="24">
        <f xml:space="preserve"> National_NAICS!W7*Index!$D$5</f>
        <v>27.944416438356164</v>
      </c>
      <c r="X7" s="24">
        <f t="shared" si="9"/>
        <v>58124.386191780824</v>
      </c>
      <c r="Y7" s="24">
        <f xml:space="preserve"> National_NAICS!Y7*Index!$D$4</f>
        <v>29.336899426784786</v>
      </c>
      <c r="Z7" s="24">
        <f t="shared" si="10"/>
        <v>61020.750807712357</v>
      </c>
      <c r="AA7" s="24">
        <f xml:space="preserve"> National_NAICS!AA7*Index!$D$3</f>
        <v>32.48735371639431</v>
      </c>
      <c r="AB7" s="24">
        <f t="shared" si="11"/>
        <v>67573.695730100168</v>
      </c>
      <c r="AC7" s="24">
        <f xml:space="preserve"> National_NAICS!AC7*Index!$D$2</f>
        <v>30.835882352941177</v>
      </c>
      <c r="AD7" s="24">
        <f t="shared" si="12"/>
        <v>64138.635294117645</v>
      </c>
    </row>
    <row r="8" spans="1:30" ht="14">
      <c r="A8" s="21" t="s">
        <v>32</v>
      </c>
      <c r="B8" s="22" t="s">
        <v>33</v>
      </c>
      <c r="C8" s="22" t="s">
        <v>34</v>
      </c>
      <c r="D8" s="2" t="s">
        <v>35</v>
      </c>
      <c r="E8" s="24">
        <f xml:space="preserve"> National_NAICS!E8*Index!$D$14</f>
        <v>14.083399209486165</v>
      </c>
      <c r="F8" s="24">
        <f t="shared" si="0"/>
        <v>29293.470355731224</v>
      </c>
      <c r="G8" s="24">
        <f xml:space="preserve"> National_NAICS!G8*Index!$D$13</f>
        <v>14.328382923673995</v>
      </c>
      <c r="H8" s="24">
        <f t="shared" si="1"/>
        <v>29803.03648124191</v>
      </c>
      <c r="I8" s="24">
        <f xml:space="preserve"> National_NAICS!I8*Index!$D$12</f>
        <v>14.346508951406648</v>
      </c>
      <c r="J8" s="24">
        <f t="shared" si="2"/>
        <v>29840.738618925829</v>
      </c>
      <c r="K8" s="24">
        <f xml:space="preserve"> National_NAICS!K8*Index!$D$11</f>
        <v>14.51010101010101</v>
      </c>
      <c r="L8" s="24">
        <f t="shared" si="3"/>
        <v>30181.010101010103</v>
      </c>
      <c r="M8" s="24">
        <f xml:space="preserve"> National_NAICS!M8*Index!$D$10</f>
        <v>14.606847014925373</v>
      </c>
      <c r="N8" s="24">
        <f t="shared" si="4"/>
        <v>30382.241791044777</v>
      </c>
      <c r="O8" s="24">
        <f xml:space="preserve"> National_NAICS!O8*Index!$D$9</f>
        <v>14.692813641900122</v>
      </c>
      <c r="P8" s="24">
        <f t="shared" si="5"/>
        <v>30561.052375152252</v>
      </c>
      <c r="Q8" s="24">
        <f xml:space="preserve"> National_NAICS!Q8*Index!$D$8</f>
        <v>15.052755344418053</v>
      </c>
      <c r="R8" s="24">
        <f t="shared" si="6"/>
        <v>31309.73111638955</v>
      </c>
      <c r="S8" s="24">
        <f xml:space="preserve"> National_NAICS!S8*Index!$D$7</f>
        <v>15.37316249271986</v>
      </c>
      <c r="T8" s="24">
        <f t="shared" si="7"/>
        <v>31976.17798485731</v>
      </c>
      <c r="U8" s="24">
        <f xml:space="preserve"> National_NAICS!U8*Index!$D$6</f>
        <v>15.887719298245614</v>
      </c>
      <c r="V8" s="24">
        <f t="shared" si="8"/>
        <v>33046.456140350878</v>
      </c>
      <c r="W8" s="24">
        <f xml:space="preserve"> National_NAICS!W8*Index!$D$5</f>
        <v>16.931331506849318</v>
      </c>
      <c r="X8" s="24">
        <f t="shared" si="9"/>
        <v>35217.169534246583</v>
      </c>
      <c r="Y8" s="24">
        <f xml:space="preserve"> National_NAICS!Y8*Index!$D$4</f>
        <v>18.206862949452841</v>
      </c>
      <c r="Z8" s="24">
        <f t="shared" si="10"/>
        <v>37870.274934861911</v>
      </c>
      <c r="AA8" s="24">
        <f xml:space="preserve"> National_NAICS!AA8*Index!$D$3</f>
        <v>20.309899841855561</v>
      </c>
      <c r="AB8" s="24">
        <f t="shared" si="11"/>
        <v>42244.59167105957</v>
      </c>
      <c r="AC8" s="24">
        <f xml:space="preserve"> National_NAICS!AC8*Index!$D$2</f>
        <v>20.595896358543417</v>
      </c>
      <c r="AD8" s="24">
        <f t="shared" si="12"/>
        <v>42839.464425770304</v>
      </c>
    </row>
    <row r="9" spans="1:30" ht="14">
      <c r="A9" s="21" t="s">
        <v>36</v>
      </c>
      <c r="B9" s="22" t="s">
        <v>37</v>
      </c>
      <c r="C9" s="22" t="s">
        <v>38</v>
      </c>
      <c r="D9" s="2" t="s">
        <v>24</v>
      </c>
      <c r="E9" s="24">
        <f xml:space="preserve"> National_NAICS!E9*Index!$D$14</f>
        <v>24.75782608695652</v>
      </c>
      <c r="F9" s="24">
        <f t="shared" si="0"/>
        <v>51496.278260869563</v>
      </c>
      <c r="G9" s="24">
        <f xml:space="preserve"> National_NAICS!G9*Index!$D$13</f>
        <v>25.430245795601547</v>
      </c>
      <c r="H9" s="24">
        <f t="shared" si="1"/>
        <v>52894.91125485122</v>
      </c>
      <c r="I9" s="24">
        <f xml:space="preserve"> National_NAICS!I9*Index!$D$12</f>
        <v>25.480134271099743</v>
      </c>
      <c r="J9" s="24">
        <f t="shared" si="2"/>
        <v>52998.679283887468</v>
      </c>
      <c r="K9" s="24">
        <f xml:space="preserve"> National_NAICS!K9*Index!$D$11</f>
        <v>25.330303030303028</v>
      </c>
      <c r="L9" s="24">
        <f t="shared" si="3"/>
        <v>52687.030303030297</v>
      </c>
      <c r="M9" s="24">
        <f xml:space="preserve"> National_NAICS!M9*Index!$D$10</f>
        <v>25.428184079601994</v>
      </c>
      <c r="N9" s="24">
        <f t="shared" si="4"/>
        <v>52890.622885572149</v>
      </c>
      <c r="O9" s="24">
        <f xml:space="preserve"> National_NAICS!O9*Index!$D$9</f>
        <v>24.931303288672346</v>
      </c>
      <c r="P9" s="24">
        <f t="shared" si="5"/>
        <v>51857.110840438479</v>
      </c>
      <c r="Q9" s="24">
        <f xml:space="preserve"> National_NAICS!Q9*Index!$D$8</f>
        <v>25.044893111638952</v>
      </c>
      <c r="R9" s="24">
        <f t="shared" si="6"/>
        <v>52093.377672209019</v>
      </c>
      <c r="S9" s="24">
        <f xml:space="preserve"> National_NAICS!S9*Index!$D$7</f>
        <v>25.309161327897495</v>
      </c>
      <c r="T9" s="24">
        <f t="shared" si="7"/>
        <v>52643.055562026791</v>
      </c>
      <c r="U9" s="24">
        <f xml:space="preserve"> National_NAICS!U9*Index!$D$6</f>
        <v>25.843169213355971</v>
      </c>
      <c r="V9" s="24">
        <f t="shared" si="8"/>
        <v>53753.791963780423</v>
      </c>
      <c r="W9" s="24">
        <f xml:space="preserve"> National_NAICS!W9*Index!$D$5</f>
        <v>26.477720547945207</v>
      </c>
      <c r="X9" s="24">
        <f t="shared" si="9"/>
        <v>55073.65873972603</v>
      </c>
      <c r="Y9" s="24">
        <f xml:space="preserve"> National_NAICS!Y9*Index!$D$4</f>
        <v>27.316810838978636</v>
      </c>
      <c r="Z9" s="24">
        <f t="shared" si="10"/>
        <v>56818.966545075564</v>
      </c>
      <c r="AA9" s="24">
        <f xml:space="preserve"> National_NAICS!AA9*Index!$D$3</f>
        <v>31.780184501845017</v>
      </c>
      <c r="AB9" s="24">
        <f t="shared" si="11"/>
        <v>66102.783763837637</v>
      </c>
      <c r="AC9" s="24">
        <f xml:space="preserve"> National_NAICS!AC9*Index!$D$2</f>
        <v>29.367507002801119</v>
      </c>
      <c r="AD9" s="24">
        <f t="shared" si="12"/>
        <v>61084.41456582633</v>
      </c>
    </row>
    <row r="10" spans="1:30" ht="14">
      <c r="A10" s="21" t="s">
        <v>39</v>
      </c>
      <c r="B10" s="22">
        <v>51</v>
      </c>
      <c r="C10" s="22" t="s">
        <v>40</v>
      </c>
      <c r="D10" s="2" t="s">
        <v>41</v>
      </c>
      <c r="E10" s="24">
        <f xml:space="preserve"> National_NAICS!E10*Index!$D$14</f>
        <v>31.812687747035575</v>
      </c>
      <c r="F10" s="24">
        <f t="shared" si="0"/>
        <v>66170.390513833991</v>
      </c>
      <c r="G10" s="24">
        <f xml:space="preserve"> National_NAICS!G10*Index!$D$13</f>
        <v>32.831487710219918</v>
      </c>
      <c r="H10" s="24">
        <f t="shared" si="1"/>
        <v>68289.494437257425</v>
      </c>
      <c r="I10" s="24">
        <f xml:space="preserve"> National_NAICS!I10*Index!$D$12</f>
        <v>33.53201406649616</v>
      </c>
      <c r="J10" s="24">
        <f t="shared" si="2"/>
        <v>69746.589258312015</v>
      </c>
      <c r="K10" s="24">
        <f xml:space="preserve"> National_NAICS!K10*Index!$D$11</f>
        <v>34.298989898989902</v>
      </c>
      <c r="L10" s="24">
        <f t="shared" si="3"/>
        <v>71341.898989898997</v>
      </c>
      <c r="M10" s="24">
        <f xml:space="preserve"> National_NAICS!M10*Index!$D$10</f>
        <v>34.996386815920395</v>
      </c>
      <c r="N10" s="24">
        <f t="shared" si="4"/>
        <v>72792.484577114417</v>
      </c>
      <c r="O10" s="24">
        <f xml:space="preserve"> National_NAICS!O10*Index!$D$9</f>
        <v>35.918635809987819</v>
      </c>
      <c r="P10" s="24">
        <f t="shared" si="5"/>
        <v>74710.762484774663</v>
      </c>
      <c r="Q10" s="24">
        <f xml:space="preserve"> National_NAICS!Q10*Index!$D$8</f>
        <v>36.857304038004749</v>
      </c>
      <c r="R10" s="24">
        <f t="shared" si="6"/>
        <v>76663.192399049876</v>
      </c>
      <c r="S10" s="24">
        <f xml:space="preserve"> National_NAICS!S10*Index!$D$7</f>
        <v>37.931607454863133</v>
      </c>
      <c r="T10" s="24">
        <f t="shared" si="7"/>
        <v>78897.743506115323</v>
      </c>
      <c r="U10" s="24">
        <f xml:space="preserve"> National_NAICS!U10*Index!$D$6</f>
        <v>39.065851726089413</v>
      </c>
      <c r="V10" s="24">
        <f t="shared" si="8"/>
        <v>81256.971590265981</v>
      </c>
      <c r="W10" s="24">
        <f xml:space="preserve"> National_NAICS!W10*Index!$D$5</f>
        <v>40.732975342465757</v>
      </c>
      <c r="X10" s="24">
        <f t="shared" si="9"/>
        <v>84724.588712328768</v>
      </c>
      <c r="Y10" s="24">
        <f xml:space="preserve"> National_NAICS!Y10*Index!$D$4</f>
        <v>44.572277227722779</v>
      </c>
      <c r="Z10" s="24">
        <f t="shared" si="10"/>
        <v>92710.336633663377</v>
      </c>
      <c r="AA10" s="24">
        <f xml:space="preserve"> National_NAICS!AA10*Index!$D$3</f>
        <v>52.358808645229317</v>
      </c>
      <c r="AB10" s="24">
        <f t="shared" si="11"/>
        <v>108906.32198207697</v>
      </c>
      <c r="AC10" s="24">
        <f xml:space="preserve"> National_NAICS!AC10*Index!$D$2</f>
        <v>49.525466853408027</v>
      </c>
      <c r="AD10" s="24">
        <f t="shared" si="12"/>
        <v>103012.9710550887</v>
      </c>
    </row>
    <row r="11" spans="1:30" ht="14">
      <c r="A11" s="21" t="s">
        <v>42</v>
      </c>
      <c r="B11" s="22">
        <v>52</v>
      </c>
      <c r="C11" s="22" t="s">
        <v>43</v>
      </c>
      <c r="D11" s="2" t="s">
        <v>41</v>
      </c>
      <c r="E11" s="24">
        <f xml:space="preserve"> National_NAICS!E11*Index!$D$14</f>
        <v>27.179644268774702</v>
      </c>
      <c r="F11" s="24">
        <f t="shared" si="0"/>
        <v>56533.660079051377</v>
      </c>
      <c r="G11" s="24">
        <f xml:space="preserve"> National_NAICS!G11*Index!$D$13</f>
        <v>28.116817593790426</v>
      </c>
      <c r="H11" s="24">
        <f t="shared" si="1"/>
        <v>58482.980595084089</v>
      </c>
      <c r="I11" s="24">
        <f xml:space="preserve"> National_NAICS!I11*Index!$D$12</f>
        <v>28.561879795396418</v>
      </c>
      <c r="J11" s="24">
        <f t="shared" si="2"/>
        <v>59408.70997442455</v>
      </c>
      <c r="K11" s="24">
        <f xml:space="preserve"> National_NAICS!K11*Index!$D$11</f>
        <v>29.282828282828284</v>
      </c>
      <c r="L11" s="24">
        <f t="shared" si="3"/>
        <v>60908.282828282827</v>
      </c>
      <c r="M11" s="24">
        <f xml:space="preserve"> National_NAICS!M11*Index!$D$10</f>
        <v>29.840261194029853</v>
      </c>
      <c r="N11" s="24">
        <f t="shared" si="4"/>
        <v>62067.743283582095</v>
      </c>
      <c r="O11" s="24">
        <f xml:space="preserve"> National_NAICS!O11*Index!$D$9</f>
        <v>30.470158343483558</v>
      </c>
      <c r="P11" s="24">
        <f t="shared" si="5"/>
        <v>63377.929354445798</v>
      </c>
      <c r="Q11" s="24">
        <f xml:space="preserve"> National_NAICS!Q11*Index!$D$8</f>
        <v>31.512672209026128</v>
      </c>
      <c r="R11" s="24">
        <f t="shared" si="6"/>
        <v>65546.358194774351</v>
      </c>
      <c r="S11" s="24">
        <f xml:space="preserve"> National_NAICS!S11*Index!$D$7</f>
        <v>32.263075131042513</v>
      </c>
      <c r="T11" s="24">
        <f t="shared" si="7"/>
        <v>67107.196272568428</v>
      </c>
      <c r="U11" s="24">
        <f xml:space="preserve"> National_NAICS!U11*Index!$D$6</f>
        <v>33.172020373514428</v>
      </c>
      <c r="V11" s="24">
        <f t="shared" si="8"/>
        <v>68997.802376910011</v>
      </c>
      <c r="W11" s="24">
        <f xml:space="preserve"> National_NAICS!W11*Index!$D$5</f>
        <v>34.750400000000006</v>
      </c>
      <c r="X11" s="24">
        <f t="shared" si="9"/>
        <v>72280.832000000009</v>
      </c>
      <c r="Y11" s="24">
        <f xml:space="preserve"> National_NAICS!Y11*Index!$D$4</f>
        <v>36.544054194893171</v>
      </c>
      <c r="Z11" s="24">
        <f t="shared" si="10"/>
        <v>76011.6327253778</v>
      </c>
      <c r="AA11" s="24">
        <f xml:space="preserve"> National_NAICS!AA11*Index!$D$3</f>
        <v>41.638123352662099</v>
      </c>
      <c r="AB11" s="24">
        <f t="shared" si="11"/>
        <v>86607.296573537169</v>
      </c>
      <c r="AC11" s="24">
        <f xml:space="preserve"> National_NAICS!AC11*Index!$D$2</f>
        <v>39.182436974789915</v>
      </c>
      <c r="AD11" s="24">
        <f t="shared" si="12"/>
        <v>81499.46890756303</v>
      </c>
    </row>
    <row r="12" spans="1:30" ht="14">
      <c r="A12" s="21" t="s">
        <v>44</v>
      </c>
      <c r="B12" s="22">
        <v>53</v>
      </c>
      <c r="C12" s="22" t="s">
        <v>45</v>
      </c>
      <c r="D12" s="2" t="s">
        <v>41</v>
      </c>
      <c r="E12" s="24">
        <f xml:space="preserve"> National_NAICS!E12*Index!$D$14</f>
        <v>19.716758893280634</v>
      </c>
      <c r="F12" s="24">
        <f t="shared" si="0"/>
        <v>41010.858498023721</v>
      </c>
      <c r="G12" s="24">
        <f xml:space="preserve"> National_NAICS!G12*Index!$D$13</f>
        <v>20.149288486416555</v>
      </c>
      <c r="H12" s="24">
        <f t="shared" si="1"/>
        <v>41910.520051746433</v>
      </c>
      <c r="I12" s="24">
        <f xml:space="preserve"> National_NAICS!I12*Index!$D$12</f>
        <v>20.352634271099742</v>
      </c>
      <c r="J12" s="24">
        <f t="shared" si="2"/>
        <v>42333.479283887464</v>
      </c>
      <c r="K12" s="24">
        <f xml:space="preserve"> National_NAICS!K12*Index!$D$11</f>
        <v>20.786868686868686</v>
      </c>
      <c r="L12" s="24">
        <f t="shared" si="3"/>
        <v>43236.686868686869</v>
      </c>
      <c r="M12" s="24">
        <f xml:space="preserve"> National_NAICS!M12*Index!$D$10</f>
        <v>21.251069651741297</v>
      </c>
      <c r="N12" s="24">
        <f t="shared" si="4"/>
        <v>44202.224875621898</v>
      </c>
      <c r="O12" s="24">
        <f xml:space="preserve"> National_NAICS!O12*Index!$D$9</f>
        <v>21.613154689403164</v>
      </c>
      <c r="P12" s="24">
        <f t="shared" si="5"/>
        <v>44955.361753958583</v>
      </c>
      <c r="Q12" s="24">
        <f xml:space="preserve"> National_NAICS!Q12*Index!$D$8</f>
        <v>22.256389548693583</v>
      </c>
      <c r="R12" s="24">
        <f t="shared" si="6"/>
        <v>46293.290261282651</v>
      </c>
      <c r="S12" s="24">
        <f xml:space="preserve"> National_NAICS!S12*Index!$D$7</f>
        <v>22.764105998835177</v>
      </c>
      <c r="T12" s="24">
        <f t="shared" si="7"/>
        <v>47349.340477577171</v>
      </c>
      <c r="U12" s="24">
        <f xml:space="preserve"> National_NAICS!U12*Index!$D$6</f>
        <v>23.588138087153364</v>
      </c>
      <c r="V12" s="24">
        <f t="shared" si="8"/>
        <v>49063.327221278996</v>
      </c>
      <c r="W12" s="24">
        <f xml:space="preserve"> National_NAICS!W12*Index!$D$5</f>
        <v>24.470663013698633</v>
      </c>
      <c r="X12" s="24">
        <f t="shared" si="9"/>
        <v>50898.979068493158</v>
      </c>
      <c r="Y12" s="24">
        <f xml:space="preserve"> National_NAICS!Y12*Index!$D$4</f>
        <v>25.661641479937469</v>
      </c>
      <c r="Z12" s="24">
        <f t="shared" si="10"/>
        <v>53376.214278269937</v>
      </c>
      <c r="AA12" s="24">
        <f xml:space="preserve"> National_NAICS!AA12*Index!$D$3</f>
        <v>30.210268845545599</v>
      </c>
      <c r="AB12" s="24">
        <f t="shared" si="11"/>
        <v>62837.359198734848</v>
      </c>
      <c r="AC12" s="24">
        <f xml:space="preserve"> National_NAICS!AC12*Index!$D$2</f>
        <v>28.607558356676002</v>
      </c>
      <c r="AD12" s="24">
        <f t="shared" si="12"/>
        <v>59503.721381886084</v>
      </c>
    </row>
    <row r="13" spans="1:30" ht="14">
      <c r="A13" s="21" t="s">
        <v>46</v>
      </c>
      <c r="B13" s="22">
        <v>54</v>
      </c>
      <c r="C13" s="22" t="s">
        <v>47</v>
      </c>
      <c r="D13" s="2" t="s">
        <v>41</v>
      </c>
      <c r="E13" s="24">
        <f xml:space="preserve"> National_NAICS!E13*Index!$D$14</f>
        <v>35.629683794466402</v>
      </c>
      <c r="F13" s="24">
        <f t="shared" si="0"/>
        <v>74109.742292490118</v>
      </c>
      <c r="G13" s="24">
        <f xml:space="preserve"> National_NAICS!G13*Index!$D$13</f>
        <v>36.703311772315651</v>
      </c>
      <c r="H13" s="24">
        <f t="shared" si="1"/>
        <v>76342.888486416559</v>
      </c>
      <c r="I13" s="24">
        <f xml:space="preserve"> National_NAICS!I13*Index!$D$12</f>
        <v>37.282563938618921</v>
      </c>
      <c r="J13" s="24">
        <f t="shared" si="2"/>
        <v>77547.73299232735</v>
      </c>
      <c r="K13" s="24">
        <f xml:space="preserve"> National_NAICS!K13*Index!$D$11</f>
        <v>38.080808080808083</v>
      </c>
      <c r="L13" s="24">
        <f t="shared" si="3"/>
        <v>79208.08080808082</v>
      </c>
      <c r="M13" s="24">
        <f xml:space="preserve"> National_NAICS!M13*Index!$D$10</f>
        <v>38.442506218905471</v>
      </c>
      <c r="N13" s="24">
        <f t="shared" si="4"/>
        <v>79960.412935323388</v>
      </c>
      <c r="O13" s="24">
        <f xml:space="preserve"> National_NAICS!O13*Index!$D$9</f>
        <v>38.888185140073077</v>
      </c>
      <c r="P13" s="24">
        <f t="shared" si="5"/>
        <v>80887.425091351994</v>
      </c>
      <c r="Q13" s="24">
        <f xml:space="preserve"> National_NAICS!Q13*Index!$D$8</f>
        <v>39.787814726840857</v>
      </c>
      <c r="R13" s="24">
        <f t="shared" si="6"/>
        <v>82758.654631828977</v>
      </c>
      <c r="S13" s="24">
        <f xml:space="preserve"> National_NAICS!S13*Index!$D$7</f>
        <v>40.399539895165987</v>
      </c>
      <c r="T13" s="24">
        <f t="shared" si="7"/>
        <v>84031.042981945255</v>
      </c>
      <c r="U13" s="24">
        <f xml:space="preserve"> National_NAICS!U13*Index!$D$6</f>
        <v>41.410571590265981</v>
      </c>
      <c r="V13" s="24">
        <f t="shared" si="8"/>
        <v>86133.988907753243</v>
      </c>
      <c r="W13" s="24">
        <f xml:space="preserve"> National_NAICS!W13*Index!$D$5</f>
        <v>43.100273972602743</v>
      </c>
      <c r="X13" s="24">
        <f t="shared" si="9"/>
        <v>89648.569863013705</v>
      </c>
      <c r="Y13" s="24">
        <f xml:space="preserve"> National_NAICS!Y13*Index!$D$4</f>
        <v>45.432443981240233</v>
      </c>
      <c r="Z13" s="24">
        <f t="shared" si="10"/>
        <v>94499.483480979688</v>
      </c>
      <c r="AA13" s="24">
        <f xml:space="preserve"> National_NAICS!AA13*Index!$D$3</f>
        <v>52.302235108065368</v>
      </c>
      <c r="AB13" s="24">
        <f t="shared" si="11"/>
        <v>108788.64902477596</v>
      </c>
      <c r="AC13" s="24">
        <f xml:space="preserve"> National_NAICS!AC13*Index!$D$2</f>
        <v>48.649593837535015</v>
      </c>
      <c r="AD13" s="24">
        <f t="shared" si="12"/>
        <v>101191.15518207283</v>
      </c>
    </row>
    <row r="14" spans="1:30" ht="14">
      <c r="A14" s="21" t="s">
        <v>48</v>
      </c>
      <c r="B14" s="22">
        <v>55</v>
      </c>
      <c r="C14" s="22" t="s">
        <v>49</v>
      </c>
      <c r="D14" s="2" t="s">
        <v>41</v>
      </c>
      <c r="E14" s="24">
        <f xml:space="preserve"> National_NAICS!E14*Index!$D$14</f>
        <v>35.247984189723319</v>
      </c>
      <c r="F14" s="24">
        <f t="shared" si="0"/>
        <v>73315.807114624506</v>
      </c>
      <c r="G14" s="24">
        <f xml:space="preserve"> National_NAICS!G14*Index!$D$13</f>
        <v>36.663803363518753</v>
      </c>
      <c r="H14" s="24">
        <f t="shared" si="1"/>
        <v>76260.710996119</v>
      </c>
      <c r="I14" s="24">
        <f xml:space="preserve"> National_NAICS!I14*Index!$D$12</f>
        <v>37.400588235294116</v>
      </c>
      <c r="J14" s="24">
        <f t="shared" si="2"/>
        <v>77793.223529411756</v>
      </c>
      <c r="K14" s="24">
        <f xml:space="preserve"> National_NAICS!K14*Index!$D$11</f>
        <v>38.185858585858583</v>
      </c>
      <c r="L14" s="24">
        <f t="shared" si="3"/>
        <v>79426.585858585851</v>
      </c>
      <c r="M14" s="24">
        <f xml:space="preserve"> National_NAICS!M14*Index!$D$10</f>
        <v>39.042966417910449</v>
      </c>
      <c r="N14" s="24">
        <f t="shared" si="4"/>
        <v>81209.370149253737</v>
      </c>
      <c r="O14" s="24">
        <f xml:space="preserve"> National_NAICS!O14*Index!$D$9</f>
        <v>39.495006090133977</v>
      </c>
      <c r="P14" s="24">
        <f t="shared" si="5"/>
        <v>82149.612667478665</v>
      </c>
      <c r="Q14" s="24">
        <f xml:space="preserve"> National_NAICS!Q14*Index!$D$8</f>
        <v>40.575308788598576</v>
      </c>
      <c r="R14" s="24">
        <f t="shared" si="6"/>
        <v>84396.642280285043</v>
      </c>
      <c r="S14" s="24">
        <f xml:space="preserve"> National_NAICS!S14*Index!$D$7</f>
        <v>41.209330227140363</v>
      </c>
      <c r="T14" s="24">
        <f t="shared" si="7"/>
        <v>85715.40687245196</v>
      </c>
      <c r="U14" s="24">
        <f xml:space="preserve"> National_NAICS!U14*Index!$D$6</f>
        <v>42.512461799660436</v>
      </c>
      <c r="V14" s="24">
        <f t="shared" si="8"/>
        <v>88425.920543293701</v>
      </c>
      <c r="W14" s="24">
        <f xml:space="preserve"> National_NAICS!W14*Index!$D$5</f>
        <v>44.039473972602742</v>
      </c>
      <c r="X14" s="24">
        <f t="shared" si="9"/>
        <v>91602.105863013698</v>
      </c>
      <c r="Y14" s="24">
        <f xml:space="preserve"> National_NAICS!Y14*Index!$D$4</f>
        <v>46.409906201146434</v>
      </c>
      <c r="Z14" s="24">
        <f t="shared" si="10"/>
        <v>96532.604898384583</v>
      </c>
      <c r="AA14" s="24">
        <f xml:space="preserve"> National_NAICS!AA14*Index!$D$3</f>
        <v>52.867970479704802</v>
      </c>
      <c r="AB14" s="24">
        <f t="shared" si="11"/>
        <v>109965.37859778598</v>
      </c>
      <c r="AC14" s="24">
        <f xml:space="preserve"> National_NAICS!AC14*Index!$D$2</f>
        <v>49.860359477124177</v>
      </c>
      <c r="AD14" s="24">
        <f t="shared" si="12"/>
        <v>103709.54771241829</v>
      </c>
    </row>
    <row r="15" spans="1:30" ht="14">
      <c r="A15" s="21" t="s">
        <v>50</v>
      </c>
      <c r="B15" s="22">
        <v>56</v>
      </c>
      <c r="C15" s="22" t="s">
        <v>51</v>
      </c>
      <c r="D15" s="2" t="s">
        <v>35</v>
      </c>
      <c r="E15" s="24">
        <f xml:space="preserve"> National_NAICS!E15*Index!$D$14</f>
        <v>16.676324110671935</v>
      </c>
      <c r="F15" s="24">
        <f t="shared" si="0"/>
        <v>34686.754150197623</v>
      </c>
      <c r="G15" s="24">
        <f xml:space="preserve"> National_NAICS!G15*Index!$D$13</f>
        <v>16.856921086675289</v>
      </c>
      <c r="H15" s="24">
        <f t="shared" si="1"/>
        <v>35062.395860284603</v>
      </c>
      <c r="I15" s="24">
        <f xml:space="preserve"> National_NAICS!I15*Index!$D$12</f>
        <v>16.706994884910486</v>
      </c>
      <c r="J15" s="24">
        <f t="shared" si="2"/>
        <v>34750.549360613812</v>
      </c>
      <c r="K15" s="24">
        <f xml:space="preserve"> National_NAICS!K15*Index!$D$11</f>
        <v>17.018181818181819</v>
      </c>
      <c r="L15" s="24">
        <f t="shared" si="3"/>
        <v>35397.818181818184</v>
      </c>
      <c r="M15" s="24">
        <f xml:space="preserve"> National_NAICS!M15*Index!$D$10</f>
        <v>17.165329601990052</v>
      </c>
      <c r="N15" s="24">
        <f t="shared" si="4"/>
        <v>35703.885572139312</v>
      </c>
      <c r="O15" s="24">
        <f xml:space="preserve"> National_NAICS!O15*Index!$D$9</f>
        <v>17.339585870889159</v>
      </c>
      <c r="P15" s="24">
        <f t="shared" si="5"/>
        <v>36066.33861144945</v>
      </c>
      <c r="Q15" s="24">
        <f xml:space="preserve"> National_NAICS!Q15*Index!$D$8</f>
        <v>17.918717339667459</v>
      </c>
      <c r="R15" s="24">
        <f t="shared" si="6"/>
        <v>37270.932066508314</v>
      </c>
      <c r="S15" s="24">
        <f xml:space="preserve"> National_NAICS!S15*Index!$D$7</f>
        <v>18.355247524752475</v>
      </c>
      <c r="T15" s="24">
        <f t="shared" si="7"/>
        <v>38178.914851485148</v>
      </c>
      <c r="U15" s="24">
        <f xml:space="preserve"> National_NAICS!U15*Index!$D$6</f>
        <v>19.01401245048104</v>
      </c>
      <c r="V15" s="24">
        <f t="shared" si="8"/>
        <v>39549.145897000562</v>
      </c>
      <c r="W15" s="24">
        <f xml:space="preserve"> National_NAICS!W15*Index!$D$5</f>
        <v>19.916186301369866</v>
      </c>
      <c r="X15" s="24">
        <f t="shared" si="9"/>
        <v>41425.66750684932</v>
      </c>
      <c r="Y15" s="24">
        <f xml:space="preserve"> National_NAICS!Y15*Index!$D$4</f>
        <v>21.230479416362687</v>
      </c>
      <c r="Z15" s="24">
        <f t="shared" si="10"/>
        <v>44159.397186034388</v>
      </c>
      <c r="AA15" s="24">
        <f xml:space="preserve"> National_NAICS!AA15*Index!$D$3</f>
        <v>24.722635740643124</v>
      </c>
      <c r="AB15" s="24">
        <f t="shared" si="11"/>
        <v>51423.082340537701</v>
      </c>
      <c r="AC15" s="24">
        <f xml:space="preserve"> National_NAICS!AC15*Index!$D$2</f>
        <v>22.86286181139122</v>
      </c>
      <c r="AD15" s="24">
        <f t="shared" si="12"/>
        <v>47554.752567693737</v>
      </c>
    </row>
    <row r="16" spans="1:30" ht="14">
      <c r="A16" s="21" t="s">
        <v>52</v>
      </c>
      <c r="B16" s="22">
        <v>61</v>
      </c>
      <c r="C16" s="22" t="s">
        <v>53</v>
      </c>
      <c r="D16" s="2" t="s">
        <v>54</v>
      </c>
      <c r="E16" s="24">
        <f xml:space="preserve"> National_NAICS!E16*Index!$D$14</f>
        <v>27.28494071146245</v>
      </c>
      <c r="F16" s="24">
        <f t="shared" si="0"/>
        <v>56752.676679841898</v>
      </c>
      <c r="G16" s="24">
        <f xml:space="preserve"> National_NAICS!G16*Index!$D$13</f>
        <v>27.695394566623541</v>
      </c>
      <c r="H16" s="24">
        <f t="shared" si="1"/>
        <v>57606.420698576963</v>
      </c>
      <c r="I16" s="24">
        <f xml:space="preserve"> National_NAICS!I16*Index!$D$12</f>
        <v>27.670140664961636</v>
      </c>
      <c r="J16" s="24">
        <f t="shared" si="2"/>
        <v>57553.8925831202</v>
      </c>
      <c r="K16" s="24">
        <f xml:space="preserve"> National_NAICS!K16*Index!$D$11</f>
        <v>27.864646464646462</v>
      </c>
      <c r="L16" s="24">
        <f t="shared" si="3"/>
        <v>57958.464646464643</v>
      </c>
      <c r="M16" s="24">
        <f xml:space="preserve"> National_NAICS!M16*Index!$D$10</f>
        <v>28.078041044776125</v>
      </c>
      <c r="N16" s="24">
        <f t="shared" si="4"/>
        <v>58402.325373134343</v>
      </c>
      <c r="O16" s="24">
        <f xml:space="preserve"> National_NAICS!O16*Index!$D$9</f>
        <v>28.262362971985382</v>
      </c>
      <c r="P16" s="24">
        <f t="shared" si="5"/>
        <v>58785.714981729594</v>
      </c>
      <c r="Q16" s="24">
        <f xml:space="preserve"> National_NAICS!Q16*Index!$D$8</f>
        <v>28.995273159144894</v>
      </c>
      <c r="R16" s="24">
        <f t="shared" si="6"/>
        <v>60310.168171021382</v>
      </c>
      <c r="S16" s="24">
        <f xml:space="preserve"> National_NAICS!S16*Index!$D$7</f>
        <v>29.409528246942337</v>
      </c>
      <c r="T16" s="24">
        <f t="shared" si="7"/>
        <v>61171.818753640058</v>
      </c>
      <c r="U16" s="24">
        <f xml:space="preserve"> National_NAICS!U16*Index!$D$6</f>
        <v>30.084165251839273</v>
      </c>
      <c r="V16" s="24">
        <f t="shared" si="8"/>
        <v>62575.06372382569</v>
      </c>
      <c r="W16" s="24">
        <f xml:space="preserve"> National_NAICS!W16*Index!$D$5</f>
        <v>31.019331506849319</v>
      </c>
      <c r="X16" s="24">
        <f t="shared" si="9"/>
        <v>64520.209534246584</v>
      </c>
      <c r="Y16" s="24">
        <f xml:space="preserve"> National_NAICS!Y16*Index!$D$4</f>
        <v>32.386581552892132</v>
      </c>
      <c r="Z16" s="24">
        <f t="shared" si="10"/>
        <v>67364.089630015631</v>
      </c>
      <c r="AA16" s="24">
        <f xml:space="preserve"> National_NAICS!AA16*Index!$D$3</f>
        <v>34.085556141275703</v>
      </c>
      <c r="AB16" s="24">
        <f t="shared" si="11"/>
        <v>70897.956773853468</v>
      </c>
      <c r="AC16" s="24">
        <f xml:space="preserve"> National_NAICS!AC16*Index!$D$2</f>
        <v>34.120406162464981</v>
      </c>
      <c r="AD16" s="24">
        <f t="shared" si="12"/>
        <v>70970.444817927157</v>
      </c>
    </row>
    <row r="17" spans="1:30" ht="14">
      <c r="A17" s="21" t="s">
        <v>55</v>
      </c>
      <c r="B17" s="22">
        <v>62</v>
      </c>
      <c r="C17" s="22" t="s">
        <v>56</v>
      </c>
      <c r="D17" s="2" t="s">
        <v>54</v>
      </c>
      <c r="E17" s="24">
        <f xml:space="preserve"> National_NAICS!E17*Index!$D$14</f>
        <v>21.493636363636362</v>
      </c>
      <c r="F17" s="24">
        <f t="shared" si="0"/>
        <v>44706.763636363634</v>
      </c>
      <c r="G17" s="24">
        <f xml:space="preserve"> National_NAICS!G17*Index!$D$13</f>
        <v>22.03252263906856</v>
      </c>
      <c r="H17" s="24">
        <f t="shared" si="1"/>
        <v>45827.647089262602</v>
      </c>
      <c r="I17" s="24">
        <f xml:space="preserve"> National_NAICS!I17*Index!$D$12</f>
        <v>22.214795396419436</v>
      </c>
      <c r="J17" s="24">
        <f t="shared" si="2"/>
        <v>46206.77442455243</v>
      </c>
      <c r="K17" s="24">
        <f xml:space="preserve"> National_NAICS!K17*Index!$D$11</f>
        <v>22.533333333333335</v>
      </c>
      <c r="L17" s="24">
        <f t="shared" si="3"/>
        <v>46869.333333333336</v>
      </c>
      <c r="M17" s="24">
        <f xml:space="preserve"> National_NAICS!M17*Index!$D$10</f>
        <v>22.686952736318407</v>
      </c>
      <c r="N17" s="24">
        <f t="shared" si="4"/>
        <v>47188.86169154229</v>
      </c>
      <c r="O17" s="24">
        <f xml:space="preserve"> National_NAICS!O17*Index!$D$9</f>
        <v>22.878440925700364</v>
      </c>
      <c r="P17" s="24">
        <f t="shared" si="5"/>
        <v>47587.157125456753</v>
      </c>
      <c r="Q17" s="24">
        <f xml:space="preserve"> National_NAICS!Q17*Index!$D$8</f>
        <v>23.379536817102135</v>
      </c>
      <c r="R17" s="24">
        <f t="shared" si="6"/>
        <v>48629.436579572444</v>
      </c>
      <c r="S17" s="24">
        <f xml:space="preserve"> National_NAICS!S17*Index!$D$7</f>
        <v>23.342527664531158</v>
      </c>
      <c r="T17" s="24">
        <f t="shared" si="7"/>
        <v>48552.457542224809</v>
      </c>
      <c r="U17" s="24">
        <f xml:space="preserve"> National_NAICS!U17*Index!$D$6</f>
        <v>23.78032823995472</v>
      </c>
      <c r="V17" s="24">
        <f t="shared" si="8"/>
        <v>49463.082739105819</v>
      </c>
      <c r="W17" s="24">
        <f xml:space="preserve"> National_NAICS!W17*Index!$D$5</f>
        <v>24.432065753424659</v>
      </c>
      <c r="X17" s="24">
        <f t="shared" si="9"/>
        <v>50818.696767123292</v>
      </c>
      <c r="Y17" s="24">
        <f xml:space="preserve"> National_NAICS!Y17*Index!$D$4</f>
        <v>25.544346013548726</v>
      </c>
      <c r="Z17" s="24">
        <f t="shared" si="10"/>
        <v>53132.239708181347</v>
      </c>
      <c r="AA17" s="24">
        <f xml:space="preserve"> National_NAICS!AA17*Index!$D$3</f>
        <v>28.61206642066421</v>
      </c>
      <c r="AB17" s="24">
        <f t="shared" si="11"/>
        <v>59513.098154981555</v>
      </c>
      <c r="AC17" s="24">
        <f xml:space="preserve"> National_NAICS!AC17*Index!$D$2</f>
        <v>27.808968253968249</v>
      </c>
      <c r="AD17" s="24">
        <f t="shared" si="12"/>
        <v>57842.653968253959</v>
      </c>
    </row>
    <row r="18" spans="1:30" ht="14">
      <c r="A18" s="21" t="s">
        <v>57</v>
      </c>
      <c r="B18" s="22">
        <v>71</v>
      </c>
      <c r="C18" s="22" t="s">
        <v>58</v>
      </c>
      <c r="D18" s="2" t="s">
        <v>35</v>
      </c>
      <c r="E18" s="24">
        <f xml:space="preserve"> National_NAICS!E18*Index!$D$14</f>
        <v>14.767826086956521</v>
      </c>
      <c r="F18" s="24">
        <f t="shared" si="0"/>
        <v>30717.078260869566</v>
      </c>
      <c r="G18" s="24">
        <f xml:space="preserve"> National_NAICS!G18*Index!$D$13</f>
        <v>14.868331177231562</v>
      </c>
      <c r="H18" s="24">
        <f t="shared" si="1"/>
        <v>30926.128848641649</v>
      </c>
      <c r="I18" s="24">
        <f xml:space="preserve"> National_NAICS!I18*Index!$D$12</f>
        <v>14.936630434782609</v>
      </c>
      <c r="J18" s="24">
        <f t="shared" si="2"/>
        <v>31068.191304347827</v>
      </c>
      <c r="K18" s="24">
        <f xml:space="preserve"> National_NAICS!K18*Index!$D$11</f>
        <v>15.087878787878788</v>
      </c>
      <c r="L18" s="24">
        <f t="shared" si="3"/>
        <v>31382.78787878788</v>
      </c>
      <c r="M18" s="24">
        <f xml:space="preserve"> National_NAICS!M18*Index!$D$10</f>
        <v>15.246467661691543</v>
      </c>
      <c r="N18" s="24">
        <f t="shared" si="4"/>
        <v>31712.65273631841</v>
      </c>
      <c r="O18" s="24">
        <f xml:space="preserve"> National_NAICS!O18*Index!$D$9</f>
        <v>15.480389768574907</v>
      </c>
      <c r="P18" s="24">
        <f t="shared" si="5"/>
        <v>32199.210718635808</v>
      </c>
      <c r="Q18" s="24">
        <f xml:space="preserve"> National_NAICS!Q18*Index!$D$8</f>
        <v>15.878978622327791</v>
      </c>
      <c r="R18" s="24">
        <f t="shared" si="6"/>
        <v>33028.275534441804</v>
      </c>
      <c r="S18" s="24">
        <f xml:space="preserve"> National_NAICS!S18*Index!$D$7</f>
        <v>16.272929528246941</v>
      </c>
      <c r="T18" s="24">
        <f t="shared" si="7"/>
        <v>33847.693418753639</v>
      </c>
      <c r="U18" s="24">
        <f xml:space="preserve"> National_NAICS!U18*Index!$D$6</f>
        <v>16.8999207696661</v>
      </c>
      <c r="V18" s="24">
        <f t="shared" si="8"/>
        <v>35151.835200905487</v>
      </c>
      <c r="W18" s="24">
        <f xml:space="preserve"> National_NAICS!W18*Index!$D$5</f>
        <v>17.857665753424662</v>
      </c>
      <c r="X18" s="24">
        <f t="shared" si="9"/>
        <v>37143.944767123299</v>
      </c>
      <c r="Y18" s="24">
        <f xml:space="preserve"> National_NAICS!Y18*Index!$D$4</f>
        <v>19.184325169359042</v>
      </c>
      <c r="Z18" s="24">
        <f t="shared" si="10"/>
        <v>39903.396352266805</v>
      </c>
      <c r="AA18" s="24">
        <f xml:space="preserve"> National_NAICS!AA18*Index!$D$3</f>
        <v>20.790774907749078</v>
      </c>
      <c r="AB18" s="24">
        <f t="shared" si="11"/>
        <v>43244.81180811808</v>
      </c>
      <c r="AC18" s="24">
        <f xml:space="preserve"> National_NAICS!AC18*Index!$D$2</f>
        <v>21.536171802054152</v>
      </c>
      <c r="AD18" s="24">
        <f t="shared" si="12"/>
        <v>44795.23734827264</v>
      </c>
    </row>
    <row r="19" spans="1:30" ht="14">
      <c r="A19" s="21" t="s">
        <v>59</v>
      </c>
      <c r="B19" s="22">
        <v>72</v>
      </c>
      <c r="C19" s="22" t="s">
        <v>60</v>
      </c>
      <c r="D19" s="2" t="s">
        <v>35</v>
      </c>
      <c r="E19" s="24">
        <f xml:space="preserve"> National_NAICS!E19*Index!$D$14</f>
        <v>11.911660079051384</v>
      </c>
      <c r="F19" s="24">
        <f t="shared" si="0"/>
        <v>24776.252964426876</v>
      </c>
      <c r="G19" s="24">
        <f xml:space="preserve"> National_NAICS!G19*Index!$D$13</f>
        <v>12.036895213454073</v>
      </c>
      <c r="H19" s="24">
        <f t="shared" si="1"/>
        <v>25036.742043984472</v>
      </c>
      <c r="I19" s="24">
        <f xml:space="preserve"> National_NAICS!I19*Index!$D$12</f>
        <v>12.038478260869564</v>
      </c>
      <c r="J19" s="24">
        <f t="shared" si="2"/>
        <v>25040.034782608691</v>
      </c>
      <c r="K19" s="24">
        <f xml:space="preserve"> National_NAICS!K19*Index!$D$11</f>
        <v>12.107070707070708</v>
      </c>
      <c r="L19" s="24">
        <f t="shared" si="3"/>
        <v>25182.707070707074</v>
      </c>
      <c r="M19" s="24">
        <f xml:space="preserve"> National_NAICS!M19*Index!$D$10</f>
        <v>12.139738805970151</v>
      </c>
      <c r="N19" s="24">
        <f t="shared" si="4"/>
        <v>25250.656716417914</v>
      </c>
      <c r="O19" s="24">
        <f xml:space="preserve"> National_NAICS!O19*Index!$D$9</f>
        <v>12.252618757612668</v>
      </c>
      <c r="P19" s="24">
        <f t="shared" si="5"/>
        <v>25485.44701583435</v>
      </c>
      <c r="Q19" s="24">
        <f xml:space="preserve"> National_NAICS!Q19*Index!$D$8</f>
        <v>12.922648456057006</v>
      </c>
      <c r="R19" s="24">
        <f t="shared" si="6"/>
        <v>26879.108788598573</v>
      </c>
      <c r="S19" s="24">
        <f xml:space="preserve"> National_NAICS!S19*Index!$D$7</f>
        <v>13.58648223645894</v>
      </c>
      <c r="T19" s="24">
        <f t="shared" si="7"/>
        <v>28259.883051834593</v>
      </c>
      <c r="U19" s="24">
        <f xml:space="preserve"> National_NAICS!U19*Index!$D$6</f>
        <v>14.247696661007355</v>
      </c>
      <c r="V19" s="24">
        <f t="shared" si="8"/>
        <v>29635.209054895298</v>
      </c>
      <c r="W19" s="24">
        <f xml:space="preserve"> National_NAICS!W19*Index!$D$5</f>
        <v>14.975736986301373</v>
      </c>
      <c r="X19" s="24">
        <f t="shared" si="9"/>
        <v>31149.532931506856</v>
      </c>
      <c r="Y19" s="24">
        <f xml:space="preserve"> National_NAICS!Y19*Index!$D$4</f>
        <v>15.887019280875457</v>
      </c>
      <c r="Z19" s="24">
        <f t="shared" si="10"/>
        <v>33045.000104220948</v>
      </c>
      <c r="AA19" s="24">
        <f xml:space="preserve"> National_NAICS!AA19*Index!$D$3</f>
        <v>19.362293094359515</v>
      </c>
      <c r="AB19" s="24">
        <f t="shared" si="11"/>
        <v>40273.569636267792</v>
      </c>
      <c r="AC19" s="24">
        <f xml:space="preserve"> National_NAICS!AC19*Index!$D$2</f>
        <v>18.431974789915966</v>
      </c>
      <c r="AD19" s="24">
        <f t="shared" si="12"/>
        <v>38338.50756302521</v>
      </c>
    </row>
    <row r="20" spans="1:30" ht="14">
      <c r="A20" s="21" t="s">
        <v>61</v>
      </c>
      <c r="B20" s="22">
        <v>81</v>
      </c>
      <c r="C20" s="22" t="s">
        <v>62</v>
      </c>
      <c r="D20" s="2" t="s">
        <v>35</v>
      </c>
      <c r="E20" s="24">
        <f xml:space="preserve"> National_NAICS!E20*Index!$D$14</f>
        <v>17.426561264822134</v>
      </c>
      <c r="F20" s="24">
        <f t="shared" si="0"/>
        <v>36247.247430830037</v>
      </c>
      <c r="G20" s="24">
        <f xml:space="preserve"> National_NAICS!G20*Index!$D$13</f>
        <v>17.620750323415262</v>
      </c>
      <c r="H20" s="24">
        <f t="shared" si="1"/>
        <v>36651.160672703743</v>
      </c>
      <c r="I20" s="24">
        <f xml:space="preserve"> National_NAICS!I20*Index!$D$12</f>
        <v>17.756099744245521</v>
      </c>
      <c r="J20" s="24">
        <f t="shared" si="2"/>
        <v>36932.687468030686</v>
      </c>
      <c r="K20" s="24">
        <f xml:space="preserve"> National_NAICS!K20*Index!$D$11</f>
        <v>17.976767676767675</v>
      </c>
      <c r="L20" s="24">
        <f t="shared" si="3"/>
        <v>37391.676767676763</v>
      </c>
      <c r="M20" s="24">
        <f xml:space="preserve"> National_NAICS!M20*Index!$D$10</f>
        <v>18.261822139303483</v>
      </c>
      <c r="N20" s="24">
        <f t="shared" si="4"/>
        <v>37984.590049751241</v>
      </c>
      <c r="O20" s="24">
        <f xml:space="preserve"> National_NAICS!O20*Index!$D$9</f>
        <v>18.46285018270402</v>
      </c>
      <c r="P20" s="24">
        <f t="shared" si="5"/>
        <v>38402.72838002436</v>
      </c>
      <c r="Q20" s="24">
        <f xml:space="preserve"> National_NAICS!Q20*Index!$D$8</f>
        <v>18.96440617577197</v>
      </c>
      <c r="R20" s="24">
        <f t="shared" si="6"/>
        <v>39445.964845605697</v>
      </c>
      <c r="S20" s="24">
        <f xml:space="preserve"> National_NAICS!S20*Index!$D$7</f>
        <v>19.319283634245775</v>
      </c>
      <c r="T20" s="24">
        <f t="shared" si="7"/>
        <v>40184.109959231209</v>
      </c>
      <c r="U20" s="24">
        <f xml:space="preserve"> National_NAICS!U20*Index!$D$6</f>
        <v>19.974963214487829</v>
      </c>
      <c r="V20" s="24">
        <f t="shared" si="8"/>
        <v>41547.923486134685</v>
      </c>
      <c r="W20" s="24">
        <f xml:space="preserve"> National_NAICS!W20*Index!$D$5</f>
        <v>21.009775342465755</v>
      </c>
      <c r="X20" s="24">
        <f t="shared" si="9"/>
        <v>43700.332712328767</v>
      </c>
      <c r="Y20" s="24">
        <f xml:space="preserve"> National_NAICS!Y20*Index!$D$4</f>
        <v>22.80745179781136</v>
      </c>
      <c r="Z20" s="24">
        <f t="shared" si="10"/>
        <v>47439.49973944763</v>
      </c>
      <c r="AA20" s="24">
        <f xml:space="preserve"> National_NAICS!AA20*Index!$D$3</f>
        <v>25.486378492356351</v>
      </c>
      <c r="AB20" s="24">
        <f t="shared" si="11"/>
        <v>53011.667264101212</v>
      </c>
      <c r="AC20" s="24">
        <f xml:space="preserve"> National_NAICS!AC20*Index!$D$2</f>
        <v>24.318356676003731</v>
      </c>
      <c r="AD20" s="24">
        <f t="shared" si="12"/>
        <v>50582.181886087761</v>
      </c>
    </row>
    <row r="21" spans="1:30" ht="14">
      <c r="A21" s="21" t="s">
        <v>63</v>
      </c>
      <c r="B21" s="22">
        <v>92</v>
      </c>
      <c r="C21" s="22" t="s">
        <v>64</v>
      </c>
      <c r="D21" s="2" t="s">
        <v>54</v>
      </c>
      <c r="E21" s="24">
        <f xml:space="preserve"> National_NAICS!E21*Index!$D$14</f>
        <v>28.917035573122526</v>
      </c>
      <c r="F21" s="24">
        <f t="shared" si="0"/>
        <v>60147.433992094855</v>
      </c>
      <c r="G21" s="24">
        <f xml:space="preserve"> National_NAICS!G21*Index!$D$13</f>
        <v>29.460103492884862</v>
      </c>
      <c r="H21" s="24">
        <f t="shared" si="1"/>
        <v>61277.015265200513</v>
      </c>
      <c r="I21" s="24">
        <f xml:space="preserve"> National_NAICS!I21*Index!$D$12</f>
        <v>29.610984654731453</v>
      </c>
      <c r="J21" s="24">
        <f t="shared" si="2"/>
        <v>61590.848081841425</v>
      </c>
      <c r="K21" s="24">
        <f xml:space="preserve"> National_NAICS!K21*Index!$D$11</f>
        <v>30.031313131313134</v>
      </c>
      <c r="L21" s="24">
        <f t="shared" si="3"/>
        <v>62465.131313131315</v>
      </c>
      <c r="M21" s="24">
        <f xml:space="preserve"> National_NAICS!M21*Index!$D$10</f>
        <v>30.662630597014925</v>
      </c>
      <c r="N21" s="24">
        <f t="shared" si="4"/>
        <v>63778.271641791041</v>
      </c>
      <c r="O21" s="24">
        <f xml:space="preserve"> National_NAICS!O21*Index!$D$9</f>
        <v>30.767113276492079</v>
      </c>
      <c r="P21" s="24">
        <f t="shared" si="5"/>
        <v>63995.595615103528</v>
      </c>
      <c r="Q21" s="24">
        <f xml:space="preserve"> National_NAICS!Q21*Index!$D$8</f>
        <v>31.448123515439427</v>
      </c>
      <c r="R21" s="24">
        <f t="shared" si="6"/>
        <v>65412.096912114008</v>
      </c>
      <c r="S21" s="24">
        <f xml:space="preserve"> National_NAICS!S21*Index!$D$7</f>
        <v>31.941729761211416</v>
      </c>
      <c r="T21" s="24">
        <f t="shared" si="7"/>
        <v>66438.797903319748</v>
      </c>
      <c r="U21" s="24">
        <f xml:space="preserve"> National_NAICS!U21*Index!$D$6</f>
        <v>32.762014714204867</v>
      </c>
      <c r="V21" s="24">
        <f t="shared" si="8"/>
        <v>68144.990605546118</v>
      </c>
      <c r="W21" s="24">
        <f xml:space="preserve"> National_NAICS!W21*Index!$D$5</f>
        <v>33.721139726027403</v>
      </c>
      <c r="X21" s="24">
        <f t="shared" si="9"/>
        <v>70139.970630137002</v>
      </c>
      <c r="Y21" s="24">
        <f xml:space="preserve"> National_NAICS!Y21*Index!$D$4</f>
        <v>35.47536216779573</v>
      </c>
      <c r="Z21" s="24">
        <f t="shared" si="10"/>
        <v>73788.753309015112</v>
      </c>
      <c r="AA21" s="24">
        <f xml:space="preserve"> National_NAICS!AA21*Index!$D$3</f>
        <v>40.888523985239857</v>
      </c>
      <c r="AB21" s="24">
        <f t="shared" si="11"/>
        <v>85048.1298892989</v>
      </c>
      <c r="AC21" s="24">
        <f xml:space="preserve"> National_NAICS!AC21*Index!$D$2</f>
        <v>37.817105508870213</v>
      </c>
      <c r="AD21" s="24">
        <f t="shared" si="12"/>
        <v>78659.57945845004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5F21-DC48-4492-A158-0758A19FFC4E}">
  <dimension ref="A1:P8"/>
  <sheetViews>
    <sheetView workbookViewId="0">
      <selection activeCell="U17" sqref="U17"/>
    </sheetView>
  </sheetViews>
  <sheetFormatPr defaultRowHeight="12.5"/>
  <cols>
    <col min="1" max="1" width="12.7265625" style="36" customWidth="1"/>
    <col min="2" max="14" width="7.08984375" style="36" customWidth="1"/>
    <col min="15" max="16" width="12" style="36" customWidth="1"/>
    <col min="17" max="16384" width="8.7265625" style="35"/>
  </cols>
  <sheetData>
    <row r="1" spans="1:16" ht="26">
      <c r="A1" s="33" t="s">
        <v>116</v>
      </c>
      <c r="B1" s="33">
        <v>2010</v>
      </c>
      <c r="C1" s="33">
        <v>2011</v>
      </c>
      <c r="D1" s="33">
        <v>2012</v>
      </c>
      <c r="E1" s="33">
        <v>2013</v>
      </c>
      <c r="F1" s="33">
        <v>2014</v>
      </c>
      <c r="G1" s="33">
        <v>2015</v>
      </c>
      <c r="H1" s="33">
        <v>2016</v>
      </c>
      <c r="I1" s="33">
        <v>2017</v>
      </c>
      <c r="J1" s="33">
        <v>2018</v>
      </c>
      <c r="K1" s="33">
        <v>2019</v>
      </c>
      <c r="L1" s="33">
        <v>2020</v>
      </c>
      <c r="M1" s="33">
        <v>2021</v>
      </c>
      <c r="N1" s="33">
        <v>2022</v>
      </c>
      <c r="O1" s="33" t="s">
        <v>127</v>
      </c>
      <c r="P1" s="33" t="s">
        <v>126</v>
      </c>
    </row>
    <row r="2" spans="1:16" ht="25">
      <c r="A2" s="36" t="s">
        <v>117</v>
      </c>
      <c r="B2" s="36">
        <v>16650</v>
      </c>
      <c r="C2" s="36">
        <v>17200</v>
      </c>
      <c r="D2" s="36">
        <v>17450</v>
      </c>
      <c r="E2" s="36">
        <v>18050</v>
      </c>
      <c r="F2" s="36">
        <v>17650</v>
      </c>
      <c r="G2" s="36">
        <v>18150</v>
      </c>
      <c r="H2" s="36">
        <v>19050</v>
      </c>
      <c r="I2" s="36">
        <v>20050</v>
      </c>
      <c r="J2" s="36">
        <v>21950</v>
      </c>
      <c r="K2" s="36">
        <v>22400</v>
      </c>
      <c r="L2" s="36">
        <v>23900</v>
      </c>
      <c r="M2" s="36">
        <v>25100</v>
      </c>
      <c r="N2" s="36">
        <v>28000</v>
      </c>
      <c r="O2" s="36" t="s">
        <v>118</v>
      </c>
      <c r="P2" s="36" t="s">
        <v>128</v>
      </c>
    </row>
    <row r="3" spans="1:16" ht="25">
      <c r="A3" s="36" t="s">
        <v>119</v>
      </c>
      <c r="B3" s="36">
        <v>27750</v>
      </c>
      <c r="C3" s="36">
        <v>28650</v>
      </c>
      <c r="D3" s="36">
        <v>29050</v>
      </c>
      <c r="E3" s="36">
        <v>30100</v>
      </c>
      <c r="F3" s="36">
        <v>29400</v>
      </c>
      <c r="G3" s="36">
        <v>30250</v>
      </c>
      <c r="H3" s="36">
        <v>31750</v>
      </c>
      <c r="I3" s="36">
        <v>33400</v>
      </c>
      <c r="J3" s="36">
        <v>36550</v>
      </c>
      <c r="K3" s="36">
        <v>37350</v>
      </c>
      <c r="L3" s="36">
        <v>39800</v>
      </c>
      <c r="M3" s="36">
        <v>41800</v>
      </c>
      <c r="N3" s="36">
        <v>46700</v>
      </c>
      <c r="O3" s="36" t="s">
        <v>120</v>
      </c>
      <c r="P3" s="36" t="s">
        <v>129</v>
      </c>
    </row>
    <row r="4" spans="1:16" ht="50">
      <c r="A4" s="36" t="s">
        <v>121</v>
      </c>
      <c r="B4" s="36">
        <v>33300</v>
      </c>
      <c r="C4" s="36">
        <v>34380</v>
      </c>
      <c r="D4" s="36">
        <v>34860</v>
      </c>
      <c r="E4" s="36">
        <v>36120</v>
      </c>
      <c r="F4" s="36">
        <v>35280</v>
      </c>
      <c r="G4" s="36">
        <v>36300</v>
      </c>
      <c r="H4" s="36">
        <v>38100</v>
      </c>
      <c r="I4" s="36">
        <v>40080</v>
      </c>
      <c r="J4" s="36">
        <v>43860</v>
      </c>
      <c r="K4" s="36">
        <v>44820</v>
      </c>
      <c r="L4" s="36">
        <v>47760</v>
      </c>
      <c r="M4" s="36">
        <v>50160</v>
      </c>
      <c r="N4" s="36">
        <v>56040</v>
      </c>
      <c r="O4" s="36" t="s">
        <v>122</v>
      </c>
      <c r="P4" s="36" t="s">
        <v>130</v>
      </c>
    </row>
    <row r="5" spans="1:16">
      <c r="A5" s="36" t="s">
        <v>123</v>
      </c>
      <c r="B5" s="36">
        <v>44350</v>
      </c>
      <c r="C5" s="36">
        <v>45850</v>
      </c>
      <c r="D5" s="36">
        <v>46500</v>
      </c>
      <c r="E5" s="36">
        <v>48100</v>
      </c>
      <c r="F5" s="36">
        <v>47000</v>
      </c>
      <c r="G5" s="36">
        <v>48350</v>
      </c>
      <c r="H5" s="36">
        <v>50750</v>
      </c>
      <c r="I5" s="36">
        <v>53450</v>
      </c>
      <c r="J5" s="36">
        <v>58450</v>
      </c>
      <c r="K5" s="36">
        <v>59750</v>
      </c>
      <c r="L5" s="36">
        <v>63700</v>
      </c>
      <c r="M5" s="36">
        <v>66850</v>
      </c>
      <c r="N5" s="36">
        <v>74800</v>
      </c>
      <c r="O5" s="36" t="s">
        <v>124</v>
      </c>
      <c r="P5" s="36" t="s">
        <v>131</v>
      </c>
    </row>
    <row r="6" spans="1:16" ht="26">
      <c r="A6" s="33" t="s">
        <v>125</v>
      </c>
      <c r="B6" s="33">
        <f t="shared" ref="B6:M6" si="0" xml:space="preserve"> B3*2</f>
        <v>55500</v>
      </c>
      <c r="C6" s="33">
        <f t="shared" si="0"/>
        <v>57300</v>
      </c>
      <c r="D6" s="33">
        <f t="shared" si="0"/>
        <v>58100</v>
      </c>
      <c r="E6" s="33">
        <f t="shared" si="0"/>
        <v>60200</v>
      </c>
      <c r="F6" s="33">
        <f t="shared" si="0"/>
        <v>58800</v>
      </c>
      <c r="G6" s="33">
        <f t="shared" si="0"/>
        <v>60500</v>
      </c>
      <c r="H6" s="33">
        <f t="shared" si="0"/>
        <v>63500</v>
      </c>
      <c r="I6" s="33">
        <f t="shared" si="0"/>
        <v>66800</v>
      </c>
      <c r="J6" s="33">
        <f t="shared" si="0"/>
        <v>73100</v>
      </c>
      <c r="K6" s="33">
        <f t="shared" si="0"/>
        <v>74700</v>
      </c>
      <c r="L6" s="33">
        <f t="shared" si="0"/>
        <v>79600</v>
      </c>
      <c r="M6" s="33">
        <f t="shared" si="0"/>
        <v>83600</v>
      </c>
      <c r="N6" s="33">
        <f xml:space="preserve"> N3*2</f>
        <v>93400</v>
      </c>
      <c r="O6" s="36" t="s">
        <v>132</v>
      </c>
      <c r="P6" s="36" t="s">
        <v>166</v>
      </c>
    </row>
    <row r="7" spans="1:16">
      <c r="B7" s="37">
        <f t="shared" ref="B7:M7" si="1" xml:space="preserve"> B6*1.2</f>
        <v>66600</v>
      </c>
      <c r="C7" s="37">
        <f t="shared" si="1"/>
        <v>68760</v>
      </c>
      <c r="D7" s="37">
        <f t="shared" si="1"/>
        <v>69720</v>
      </c>
      <c r="E7" s="37">
        <f t="shared" si="1"/>
        <v>72240</v>
      </c>
      <c r="F7" s="37">
        <f t="shared" si="1"/>
        <v>70560</v>
      </c>
      <c r="G7" s="37">
        <f t="shared" si="1"/>
        <v>72600</v>
      </c>
      <c r="H7" s="37">
        <f t="shared" si="1"/>
        <v>76200</v>
      </c>
      <c r="I7" s="37">
        <f t="shared" si="1"/>
        <v>80160</v>
      </c>
      <c r="J7" s="37">
        <f t="shared" si="1"/>
        <v>87720</v>
      </c>
      <c r="K7" s="37">
        <f t="shared" si="1"/>
        <v>89640</v>
      </c>
      <c r="L7" s="37">
        <f t="shared" si="1"/>
        <v>95520</v>
      </c>
      <c r="M7" s="37">
        <f t="shared" si="1"/>
        <v>100320</v>
      </c>
      <c r="N7" s="37">
        <f xml:space="preserve"> N6*1.2</f>
        <v>112080</v>
      </c>
      <c r="O7" s="36" t="s">
        <v>134</v>
      </c>
      <c r="P7" s="36" t="s">
        <v>167</v>
      </c>
    </row>
    <row r="8" spans="1:16" ht="25">
      <c r="B8" s="37">
        <f t="shared" ref="B8:M8" si="2" xml:space="preserve"> B6* 1.5</f>
        <v>83250</v>
      </c>
      <c r="C8" s="37">
        <f t="shared" si="2"/>
        <v>85950</v>
      </c>
      <c r="D8" s="37">
        <f t="shared" si="2"/>
        <v>87150</v>
      </c>
      <c r="E8" s="37">
        <f t="shared" si="2"/>
        <v>90300</v>
      </c>
      <c r="F8" s="37">
        <f t="shared" si="2"/>
        <v>88200</v>
      </c>
      <c r="G8" s="37">
        <f t="shared" si="2"/>
        <v>90750</v>
      </c>
      <c r="H8" s="37">
        <f t="shared" si="2"/>
        <v>95250</v>
      </c>
      <c r="I8" s="37">
        <f t="shared" si="2"/>
        <v>100200</v>
      </c>
      <c r="J8" s="37">
        <f t="shared" si="2"/>
        <v>109650</v>
      </c>
      <c r="K8" s="37">
        <f t="shared" si="2"/>
        <v>112050</v>
      </c>
      <c r="L8" s="37">
        <f t="shared" si="2"/>
        <v>119400</v>
      </c>
      <c r="M8" s="37">
        <f t="shared" si="2"/>
        <v>125400</v>
      </c>
      <c r="N8" s="37">
        <f xml:space="preserve"> N6* 1.5</f>
        <v>140100</v>
      </c>
      <c r="O8" s="36" t="s">
        <v>135</v>
      </c>
      <c r="P8" s="36" t="s">
        <v>168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3"/>
  <sheetViews>
    <sheetView workbookViewId="0">
      <selection activeCell="A2" sqref="A2"/>
    </sheetView>
  </sheetViews>
  <sheetFormatPr defaultColWidth="12.6328125" defaultRowHeight="15.75" customHeight="1"/>
  <cols>
    <col min="1" max="1" width="78.453125" customWidth="1"/>
  </cols>
  <sheetData>
    <row r="1" spans="1:5" ht="15.75" customHeight="1">
      <c r="A1" s="2"/>
    </row>
    <row r="2" spans="1:5" ht="15.75" customHeight="1">
      <c r="A2" s="14" t="s">
        <v>65</v>
      </c>
    </row>
    <row r="3" spans="1:5" ht="15.75" customHeight="1">
      <c r="A3" s="2" t="s">
        <v>66</v>
      </c>
    </row>
    <row r="5" spans="1:5" ht="15.75" customHeight="1">
      <c r="A5" s="15" t="s">
        <v>85</v>
      </c>
    </row>
    <row r="7" spans="1:5" ht="15.75" customHeight="1">
      <c r="A7" t="s">
        <v>115</v>
      </c>
      <c r="B7" s="3" t="s">
        <v>0</v>
      </c>
      <c r="C7" s="3" t="s">
        <v>1</v>
      </c>
      <c r="D7" s="3" t="s">
        <v>2</v>
      </c>
      <c r="E7" s="1" t="s">
        <v>3</v>
      </c>
    </row>
    <row r="8" spans="1:5" ht="15.75" customHeight="1">
      <c r="B8" s="4" t="s">
        <v>17</v>
      </c>
      <c r="C8" s="5">
        <v>11</v>
      </c>
      <c r="D8" s="5" t="s">
        <v>18</v>
      </c>
      <c r="E8" s="2" t="s">
        <v>19</v>
      </c>
    </row>
    <row r="9" spans="1:5" ht="15.75" customHeight="1">
      <c r="B9" s="4" t="s">
        <v>20</v>
      </c>
      <c r="C9" s="5">
        <v>21</v>
      </c>
      <c r="D9" s="5" t="s">
        <v>21</v>
      </c>
      <c r="E9" s="2" t="s">
        <v>19</v>
      </c>
    </row>
    <row r="10" spans="1:5" ht="15.75" customHeight="1">
      <c r="B10" s="4" t="s">
        <v>63</v>
      </c>
      <c r="C10" s="5">
        <v>92</v>
      </c>
      <c r="D10" s="5" t="s">
        <v>64</v>
      </c>
      <c r="E10" s="2" t="s">
        <v>54</v>
      </c>
    </row>
    <row r="13" spans="1:5" ht="15.75" customHeight="1">
      <c r="A13" s="32" t="s">
        <v>133</v>
      </c>
    </row>
  </sheetData>
  <hyperlinks>
    <hyperlink ref="A2" r:id="rId1" xr:uid="{00000000-0004-0000-0100-000000000000}"/>
    <hyperlink ref="A13" r:id="rId2" display="https://www.hudexchange.info/programs/home/home-income-limits/?filter_Year=2010&amp;filter_Scope=State&amp;filter_State=NY&amp;program=HOME&amp;group=IncomeLmts" xr:uid="{5DB2421C-6438-4049-89CC-D5A4D5B0301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A45C-6F3D-4287-A92A-3190E432C5BD}">
  <dimension ref="A1:F5"/>
  <sheetViews>
    <sheetView zoomScaleNormal="100" workbookViewId="0">
      <selection activeCell="N8" sqref="N8"/>
    </sheetView>
  </sheetViews>
  <sheetFormatPr defaultRowHeight="12.5"/>
  <cols>
    <col min="1" max="6" width="13.90625" style="7" customWidth="1"/>
  </cols>
  <sheetData>
    <row r="1" spans="1:6" ht="65">
      <c r="A1" s="33" t="s">
        <v>136</v>
      </c>
      <c r="B1" s="33" t="s">
        <v>137</v>
      </c>
      <c r="C1" s="33" t="s">
        <v>138</v>
      </c>
      <c r="D1" s="33" t="s">
        <v>139</v>
      </c>
      <c r="E1" s="33" t="s">
        <v>140</v>
      </c>
      <c r="F1" s="33" t="s">
        <v>141</v>
      </c>
    </row>
    <row r="2" spans="1:6" ht="75">
      <c r="A2" s="31" t="s">
        <v>142</v>
      </c>
      <c r="B2" s="34" t="s">
        <v>143</v>
      </c>
      <c r="C2" s="34" t="s">
        <v>144</v>
      </c>
      <c r="D2" s="34" t="s">
        <v>145</v>
      </c>
      <c r="E2" s="34" t="s">
        <v>146</v>
      </c>
      <c r="F2" s="34" t="s">
        <v>147</v>
      </c>
    </row>
    <row r="3" spans="1:6" ht="87.5">
      <c r="A3" s="31" t="s">
        <v>148</v>
      </c>
      <c r="B3" s="34" t="s">
        <v>149</v>
      </c>
      <c r="C3" s="34" t="s">
        <v>150</v>
      </c>
      <c r="D3" s="34" t="s">
        <v>151</v>
      </c>
      <c r="E3" s="34" t="s">
        <v>152</v>
      </c>
      <c r="F3" s="34" t="s">
        <v>153</v>
      </c>
    </row>
    <row r="4" spans="1:6" ht="75">
      <c r="A4" s="31" t="s">
        <v>154</v>
      </c>
      <c r="B4" s="34" t="s">
        <v>155</v>
      </c>
      <c r="C4" s="34" t="s">
        <v>156</v>
      </c>
      <c r="D4" s="34" t="s">
        <v>157</v>
      </c>
      <c r="E4" s="34" t="s">
        <v>158</v>
      </c>
      <c r="F4" s="34" t="s">
        <v>159</v>
      </c>
    </row>
    <row r="5" spans="1:6" ht="75">
      <c r="A5" s="31" t="s">
        <v>160</v>
      </c>
      <c r="B5" s="34" t="s">
        <v>161</v>
      </c>
      <c r="C5" s="34" t="s">
        <v>162</v>
      </c>
      <c r="D5" s="34" t="s">
        <v>163</v>
      </c>
      <c r="E5" s="34" t="s">
        <v>164</v>
      </c>
      <c r="F5" s="34" t="s">
        <v>165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4252-4C0B-4328-936B-3E75205C5F63}">
  <dimension ref="A1:C23"/>
  <sheetViews>
    <sheetView zoomScale="85" zoomScaleNormal="85" workbookViewId="0">
      <selection activeCell="D29" sqref="D29"/>
    </sheetView>
  </sheetViews>
  <sheetFormatPr defaultRowHeight="12.5"/>
  <cols>
    <col min="1" max="1" width="17.36328125" style="7" customWidth="1"/>
    <col min="2" max="2" width="32.08984375" style="7" customWidth="1"/>
    <col min="3" max="3" width="32.36328125" style="7" customWidth="1"/>
    <col min="4" max="16384" width="8.7265625" style="7"/>
  </cols>
  <sheetData>
    <row r="1" spans="1:3" ht="14">
      <c r="A1" s="38" t="s">
        <v>169</v>
      </c>
      <c r="B1" s="38" t="s">
        <v>170</v>
      </c>
      <c r="C1" s="38" t="s">
        <v>171</v>
      </c>
    </row>
    <row r="2" spans="1:3" ht="14.5">
      <c r="A2" s="39" t="s">
        <v>172</v>
      </c>
      <c r="B2" s="40" t="s">
        <v>173</v>
      </c>
      <c r="C2" s="39" t="s">
        <v>174</v>
      </c>
    </row>
    <row r="3" spans="1:3" ht="14.5">
      <c r="A3" s="39" t="s">
        <v>172</v>
      </c>
      <c r="B3" s="40" t="s">
        <v>175</v>
      </c>
      <c r="C3" s="39" t="s">
        <v>176</v>
      </c>
    </row>
    <row r="4" spans="1:3" ht="28">
      <c r="A4" s="39" t="s">
        <v>172</v>
      </c>
      <c r="B4" s="40" t="s">
        <v>177</v>
      </c>
      <c r="C4" s="39" t="s">
        <v>178</v>
      </c>
    </row>
    <row r="5" spans="1:3" ht="14.5">
      <c r="A5" s="39" t="s">
        <v>172</v>
      </c>
      <c r="B5" s="40" t="s">
        <v>179</v>
      </c>
      <c r="C5" s="39" t="s">
        <v>180</v>
      </c>
    </row>
    <row r="6" spans="1:3" ht="28">
      <c r="A6" s="39" t="s">
        <v>181</v>
      </c>
      <c r="B6" s="40" t="s">
        <v>182</v>
      </c>
      <c r="C6" s="39" t="s">
        <v>183</v>
      </c>
    </row>
    <row r="7" spans="1:3" ht="28">
      <c r="A7" s="39" t="s">
        <v>181</v>
      </c>
      <c r="B7" s="40" t="s">
        <v>184</v>
      </c>
      <c r="C7" s="39" t="s">
        <v>185</v>
      </c>
    </row>
    <row r="8" spans="1:3" ht="28">
      <c r="A8" s="39" t="s">
        <v>181</v>
      </c>
      <c r="B8" s="40" t="s">
        <v>186</v>
      </c>
      <c r="C8" s="39" t="s">
        <v>187</v>
      </c>
    </row>
    <row r="9" spans="1:3" ht="28">
      <c r="A9" s="39" t="s">
        <v>181</v>
      </c>
      <c r="B9" s="40" t="s">
        <v>188</v>
      </c>
      <c r="C9" s="39" t="s">
        <v>189</v>
      </c>
    </row>
    <row r="10" spans="1:3" ht="14.5">
      <c r="A10" s="39" t="s">
        <v>190</v>
      </c>
      <c r="B10" s="40" t="s">
        <v>191</v>
      </c>
      <c r="C10" s="39" t="s">
        <v>192</v>
      </c>
    </row>
    <row r="11" spans="1:3" ht="14.5">
      <c r="A11" s="39" t="s">
        <v>190</v>
      </c>
      <c r="B11" s="40" t="s">
        <v>193</v>
      </c>
      <c r="C11" s="39" t="s">
        <v>194</v>
      </c>
    </row>
    <row r="12" spans="1:3" ht="14.5">
      <c r="A12" s="39" t="s">
        <v>190</v>
      </c>
      <c r="B12" s="40" t="s">
        <v>195</v>
      </c>
      <c r="C12" s="39" t="s">
        <v>196</v>
      </c>
    </row>
    <row r="13" spans="1:3" ht="14.5">
      <c r="A13" s="39" t="s">
        <v>197</v>
      </c>
      <c r="B13" s="40" t="s">
        <v>198</v>
      </c>
      <c r="C13" s="39" t="s">
        <v>199</v>
      </c>
    </row>
    <row r="14" spans="1:3" ht="28">
      <c r="A14" s="39" t="s">
        <v>197</v>
      </c>
      <c r="B14" s="40" t="s">
        <v>200</v>
      </c>
      <c r="C14" s="39" t="s">
        <v>201</v>
      </c>
    </row>
    <row r="15" spans="1:3" ht="28">
      <c r="A15" s="39" t="s">
        <v>197</v>
      </c>
      <c r="B15" s="40" t="s">
        <v>202</v>
      </c>
      <c r="C15" s="39" t="s">
        <v>203</v>
      </c>
    </row>
    <row r="16" spans="1:3" ht="28">
      <c r="A16" s="39" t="s">
        <v>197</v>
      </c>
      <c r="B16" s="40" t="s">
        <v>204</v>
      </c>
      <c r="C16" s="39" t="s">
        <v>205</v>
      </c>
    </row>
    <row r="17" spans="1:3" ht="28">
      <c r="A17" s="39" t="s">
        <v>197</v>
      </c>
      <c r="B17" s="40" t="s">
        <v>206</v>
      </c>
      <c r="C17" s="39" t="s">
        <v>207</v>
      </c>
    </row>
    <row r="18" spans="1:3" ht="28">
      <c r="A18" s="39" t="s">
        <v>197</v>
      </c>
      <c r="B18" s="40" t="s">
        <v>208</v>
      </c>
      <c r="C18" s="39" t="s">
        <v>209</v>
      </c>
    </row>
    <row r="19" spans="1:3" ht="28">
      <c r="A19" s="39" t="s">
        <v>197</v>
      </c>
      <c r="B19" s="40" t="s">
        <v>210</v>
      </c>
      <c r="C19" s="39" t="s">
        <v>211</v>
      </c>
    </row>
    <row r="20" spans="1:3" ht="28">
      <c r="A20" s="39" t="s">
        <v>197</v>
      </c>
      <c r="B20" s="40" t="s">
        <v>212</v>
      </c>
      <c r="C20" s="39" t="s">
        <v>213</v>
      </c>
    </row>
    <row r="21" spans="1:3" ht="28">
      <c r="A21" s="39" t="s">
        <v>197</v>
      </c>
      <c r="B21" s="40" t="s">
        <v>214</v>
      </c>
      <c r="C21" s="39" t="s">
        <v>215</v>
      </c>
    </row>
    <row r="22" spans="1:3" ht="28">
      <c r="A22" s="39" t="s">
        <v>197</v>
      </c>
      <c r="B22" s="40" t="s">
        <v>216</v>
      </c>
      <c r="C22" s="39" t="s">
        <v>217</v>
      </c>
    </row>
    <row r="23" spans="1:3" ht="28">
      <c r="A23" s="39" t="s">
        <v>197</v>
      </c>
      <c r="B23" s="40" t="s">
        <v>218</v>
      </c>
      <c r="C23" s="39" t="s">
        <v>219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C5B2-295A-46CC-94C8-A1AA9C74E5F0}">
  <dimension ref="A1:C6"/>
  <sheetViews>
    <sheetView tabSelected="1" workbookViewId="0">
      <selection activeCell="F8" sqref="F8"/>
    </sheetView>
  </sheetViews>
  <sheetFormatPr defaultRowHeight="12.5"/>
  <cols>
    <col min="1" max="1" width="15.36328125" style="41" customWidth="1"/>
    <col min="2" max="2" width="27.08984375" style="41" customWidth="1"/>
    <col min="3" max="3" width="35.36328125" style="41" customWidth="1"/>
  </cols>
  <sheetData>
    <row r="1" spans="1:3" ht="13">
      <c r="A1" s="42" t="s">
        <v>220</v>
      </c>
      <c r="B1" s="42" t="s">
        <v>221</v>
      </c>
      <c r="C1" s="42" t="s">
        <v>222</v>
      </c>
    </row>
    <row r="2" spans="1:3" ht="13">
      <c r="A2" s="43" t="s">
        <v>41</v>
      </c>
      <c r="B2" s="44" t="s">
        <v>223</v>
      </c>
      <c r="C2" s="44" t="s">
        <v>224</v>
      </c>
    </row>
    <row r="3" spans="1:3" ht="13">
      <c r="A3" s="43" t="s">
        <v>24</v>
      </c>
      <c r="B3" s="44" t="s">
        <v>225</v>
      </c>
      <c r="C3" s="44" t="s">
        <v>226</v>
      </c>
    </row>
    <row r="4" spans="1:3" ht="13">
      <c r="A4" s="43" t="s">
        <v>54</v>
      </c>
      <c r="B4" s="44" t="s">
        <v>227</v>
      </c>
      <c r="C4" s="44" t="s">
        <v>228</v>
      </c>
    </row>
    <row r="5" spans="1:3" ht="13">
      <c r="A5" s="43" t="s">
        <v>35</v>
      </c>
      <c r="B5" s="44" t="s">
        <v>229</v>
      </c>
      <c r="C5" s="44" t="s">
        <v>230</v>
      </c>
    </row>
    <row r="6" spans="1:3" ht="13">
      <c r="A6" s="45" t="s">
        <v>231</v>
      </c>
      <c r="B6" s="44" t="s">
        <v>232</v>
      </c>
      <c r="C6" s="44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NAICS HOURLY INCOME</vt:lpstr>
      <vt:lpstr>NAICS ANNUAL INCOME</vt:lpstr>
      <vt:lpstr>Index</vt:lpstr>
      <vt:lpstr>National_NAICS</vt:lpstr>
      <vt:lpstr>MSA_NAICS</vt:lpstr>
      <vt:lpstr>HUD Income Limit</vt:lpstr>
      <vt:lpstr>Notes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Shuhan Lei</cp:lastModifiedBy>
  <dcterms:modified xsi:type="dcterms:W3CDTF">2025-12-13T22:39:32Z</dcterms:modified>
</cp:coreProperties>
</file>